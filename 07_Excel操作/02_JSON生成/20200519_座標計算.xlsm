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ishi/develop/python3/Python-Tool-Box/Excel操作/"/>
    </mc:Choice>
  </mc:AlternateContent>
  <xr:revisionPtr revIDLastSave="0" documentId="13_ncr:1_{1664B41F-9B30-4F40-8E80-630DF3EA3FD8}" xr6:coauthVersionLast="36" xr6:coauthVersionMax="36" xr10:uidLastSave="{00000000-0000-0000-0000-000000000000}"/>
  <bookViews>
    <workbookView xWindow="0" yWindow="460" windowWidth="28800" windowHeight="12360" xr2:uid="{00000000-000D-0000-FFFF-FFFF00000000}"/>
  </bookViews>
  <sheets>
    <sheet name="変更履歴" sheetId="9" r:id="rId1"/>
    <sheet name="変換用一覧" sheetId="3" r:id="rId2"/>
    <sheet name="20200511" sheetId="11" r:id="rId3"/>
    <sheet name="20200316" sheetId="12" r:id="rId4"/>
    <sheet name="簡易配置図" sheetId="7" r:id="rId5"/>
    <sheet name="変換方法" sheetId="13" r:id="rId6"/>
    <sheet name="navi.jsonとarea_settings.jso_new" sheetId="15" r:id="rId7"/>
    <sheet name="navi.jsonとarea_settings.json" sheetId="14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S70" i="3" l="1"/>
  <c r="AR70" i="3"/>
  <c r="B21" i="9"/>
  <c r="BD25" i="15"/>
  <c r="BH6" i="15"/>
  <c r="BG6" i="15"/>
  <c r="BF6" i="15"/>
  <c r="BE6" i="15"/>
  <c r="BD6" i="15"/>
  <c r="BC6" i="15"/>
  <c r="BB6" i="15"/>
  <c r="BA6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B20" i="9"/>
  <c r="B19" i="9" l="1"/>
  <c r="R91" i="3"/>
  <c r="AP91" i="3" s="1"/>
  <c r="S91" i="3"/>
  <c r="AQ91" i="3" s="1"/>
  <c r="R92" i="3"/>
  <c r="AP92" i="3" s="1"/>
  <c r="S92" i="3"/>
  <c r="AQ92" i="3" s="1"/>
  <c r="R93" i="3"/>
  <c r="S93" i="3"/>
  <c r="R94" i="3"/>
  <c r="AP94" i="3" s="1"/>
  <c r="S94" i="3"/>
  <c r="AQ94" i="3" s="1"/>
  <c r="R95" i="3"/>
  <c r="AP95" i="3" s="1"/>
  <c r="S95" i="3"/>
  <c r="AQ95" i="3" s="1"/>
  <c r="R96" i="3"/>
  <c r="S96" i="3"/>
  <c r="R97" i="3"/>
  <c r="AP97" i="3" s="1"/>
  <c r="S97" i="3"/>
  <c r="AQ97" i="3" s="1"/>
  <c r="R98" i="3"/>
  <c r="AP98" i="3" s="1"/>
  <c r="S98" i="3"/>
  <c r="AQ98" i="3" s="1"/>
  <c r="R99" i="3"/>
  <c r="S99" i="3"/>
  <c r="R100" i="3"/>
  <c r="AP100" i="3" s="1"/>
  <c r="S100" i="3"/>
  <c r="AQ100" i="3" s="1"/>
  <c r="R101" i="3"/>
  <c r="AP101" i="3" s="1"/>
  <c r="S101" i="3"/>
  <c r="AQ101" i="3" s="1"/>
  <c r="R102" i="3"/>
  <c r="S102" i="3"/>
  <c r="R103" i="3"/>
  <c r="AP103" i="3" s="1"/>
  <c r="S103" i="3"/>
  <c r="AQ103" i="3" s="1"/>
  <c r="R104" i="3"/>
  <c r="AP104" i="3" s="1"/>
  <c r="S104" i="3"/>
  <c r="AQ104" i="3" s="1"/>
  <c r="R105" i="3"/>
  <c r="S105" i="3"/>
  <c r="AQ29" i="3" l="1"/>
  <c r="AP29" i="3"/>
  <c r="AN29" i="3"/>
  <c r="S90" i="3" l="1"/>
  <c r="R90" i="3"/>
  <c r="S89" i="3"/>
  <c r="AQ89" i="3" s="1"/>
  <c r="R89" i="3"/>
  <c r="AP89" i="3" s="1"/>
  <c r="S88" i="3"/>
  <c r="AQ88" i="3" s="1"/>
  <c r="R88" i="3"/>
  <c r="AP88" i="3" s="1"/>
  <c r="S87" i="3"/>
  <c r="R87" i="3"/>
  <c r="S86" i="3"/>
  <c r="AQ86" i="3" s="1"/>
  <c r="R86" i="3"/>
  <c r="AP86" i="3" s="1"/>
  <c r="S85" i="3"/>
  <c r="AQ85" i="3" s="1"/>
  <c r="R85" i="3"/>
  <c r="AP85" i="3" s="1"/>
  <c r="S84" i="3"/>
  <c r="R84" i="3"/>
  <c r="S83" i="3"/>
  <c r="AQ83" i="3" s="1"/>
  <c r="R83" i="3"/>
  <c r="AP83" i="3" s="1"/>
  <c r="S82" i="3"/>
  <c r="AQ82" i="3" s="1"/>
  <c r="R82" i="3"/>
  <c r="AP82" i="3" s="1"/>
  <c r="S81" i="3"/>
  <c r="R81" i="3"/>
  <c r="S80" i="3"/>
  <c r="AQ80" i="3" s="1"/>
  <c r="R80" i="3"/>
  <c r="AP80" i="3" s="1"/>
  <c r="S79" i="3"/>
  <c r="AQ79" i="3" s="1"/>
  <c r="R79" i="3"/>
  <c r="AP79" i="3" s="1"/>
  <c r="S78" i="3"/>
  <c r="R78" i="3"/>
  <c r="S77" i="3"/>
  <c r="AQ77" i="3" s="1"/>
  <c r="R77" i="3"/>
  <c r="AP77" i="3" s="1"/>
  <c r="S76" i="3"/>
  <c r="AQ76" i="3" s="1"/>
  <c r="R76" i="3"/>
  <c r="AP76" i="3" s="1"/>
  <c r="S110" i="3"/>
  <c r="Y110" i="3" s="1"/>
  <c r="R110" i="3"/>
  <c r="Z110" i="3" s="1"/>
  <c r="S109" i="3"/>
  <c r="Y109" i="3" s="1"/>
  <c r="R109" i="3"/>
  <c r="AQ109" i="3" s="1"/>
  <c r="AQ70" i="3" s="1"/>
  <c r="Z109" i="3" l="1"/>
  <c r="AP109" i="3"/>
  <c r="AP70" i="3" s="1"/>
  <c r="AH114" i="3"/>
  <c r="AF114" i="3"/>
  <c r="AG114" i="3" s="1"/>
  <c r="S112" i="3"/>
  <c r="R112" i="3"/>
  <c r="B13" i="9"/>
  <c r="AI114" i="3" l="1"/>
  <c r="AE61" i="3"/>
  <c r="AE58" i="3"/>
  <c r="AE55" i="3"/>
  <c r="AE52" i="3"/>
  <c r="AE49" i="3"/>
  <c r="AE46" i="3"/>
  <c r="AE43" i="3"/>
  <c r="AE40" i="3"/>
  <c r="AE37" i="3"/>
  <c r="AE34" i="3"/>
  <c r="AE31" i="3"/>
  <c r="AE28" i="3"/>
  <c r="AE25" i="3"/>
  <c r="AE22" i="3"/>
  <c r="AE16" i="3"/>
  <c r="AE12" i="3"/>
  <c r="AE9" i="3"/>
  <c r="AE6" i="3"/>
  <c r="S71" i="3"/>
  <c r="S72" i="3"/>
  <c r="S73" i="3"/>
  <c r="S74" i="3"/>
  <c r="S75" i="3"/>
  <c r="S70" i="3"/>
  <c r="R71" i="3"/>
  <c r="R72" i="3"/>
  <c r="R73" i="3"/>
  <c r="R74" i="3"/>
  <c r="R75" i="3"/>
  <c r="R70" i="3"/>
  <c r="S69" i="3"/>
  <c r="Y69" i="3" s="1"/>
  <c r="R69" i="3"/>
  <c r="Z69" i="3" s="1"/>
  <c r="S68" i="3"/>
  <c r="R68" i="3"/>
  <c r="S66" i="3"/>
  <c r="Y66" i="3" s="1"/>
  <c r="R66" i="3"/>
  <c r="Z66" i="3" s="1"/>
  <c r="S65" i="3"/>
  <c r="R65" i="3"/>
  <c r="S67" i="3"/>
  <c r="AP67" i="3" s="1"/>
  <c r="R67" i="3"/>
  <c r="AQ67" i="3" s="1"/>
  <c r="S64" i="3"/>
  <c r="R64" i="3"/>
  <c r="AD44" i="11"/>
  <c r="AD45" i="11"/>
  <c r="AD46" i="11"/>
  <c r="AD47" i="11"/>
  <c r="AD48" i="11"/>
  <c r="AD49" i="11"/>
  <c r="AD43" i="11"/>
  <c r="AD41" i="11"/>
  <c r="AD40" i="11"/>
  <c r="AD39" i="11"/>
  <c r="AD38" i="11"/>
  <c r="AD37" i="11"/>
  <c r="AD36" i="11"/>
  <c r="AD35" i="11"/>
  <c r="AD34" i="11"/>
  <c r="AD33" i="11"/>
  <c r="AD32" i="11"/>
  <c r="AD31" i="11"/>
  <c r="AD30" i="11"/>
  <c r="AD29" i="11"/>
  <c r="AD28" i="11"/>
  <c r="AD27" i="11"/>
  <c r="AD26" i="11"/>
  <c r="AD25" i="11"/>
  <c r="AD24" i="11"/>
  <c r="AD22" i="11"/>
  <c r="AD21" i="11"/>
  <c r="AD20" i="11"/>
  <c r="AD19" i="11"/>
  <c r="AD18" i="11"/>
  <c r="AD17" i="11"/>
  <c r="AD16" i="11"/>
  <c r="AD15" i="11"/>
  <c r="AD14" i="11"/>
  <c r="AD12" i="11"/>
  <c r="AD10" i="11"/>
  <c r="AD9" i="11"/>
  <c r="AD8" i="11"/>
  <c r="AD7" i="11"/>
  <c r="AD6" i="11"/>
  <c r="T44" i="11"/>
  <c r="AD5" i="11"/>
  <c r="AF64" i="3"/>
  <c r="AG64" i="3" s="1"/>
  <c r="AI67" i="3"/>
  <c r="AF67" i="3"/>
  <c r="AG67" i="3" s="1"/>
  <c r="O27" i="11"/>
  <c r="O26" i="11"/>
  <c r="O25" i="11"/>
  <c r="O23" i="11"/>
  <c r="O22" i="11"/>
  <c r="O21" i="11"/>
  <c r="O20" i="11"/>
  <c r="O19" i="11"/>
  <c r="O18" i="11"/>
  <c r="O17" i="11"/>
  <c r="O16" i="11"/>
  <c r="O15" i="11"/>
  <c r="O14" i="11"/>
  <c r="O12" i="11"/>
  <c r="O11" i="11"/>
  <c r="O10" i="11"/>
  <c r="O6" i="11"/>
  <c r="O7" i="11"/>
  <c r="O8" i="11"/>
  <c r="O5" i="11"/>
  <c r="Z49" i="12"/>
  <c r="Z48" i="12"/>
  <c r="Z43" i="12"/>
  <c r="W43" i="12"/>
  <c r="Z42" i="12"/>
  <c r="W42" i="12"/>
  <c r="Z41" i="12"/>
  <c r="W41" i="12"/>
  <c r="Z40" i="12"/>
  <c r="W40" i="12"/>
  <c r="Z39" i="12"/>
  <c r="W39" i="12"/>
  <c r="Z38" i="12"/>
  <c r="Z35" i="12"/>
  <c r="W35" i="12"/>
  <c r="Z34" i="12"/>
  <c r="W34" i="12"/>
  <c r="Z33" i="12"/>
  <c r="W33" i="12"/>
  <c r="Z32" i="12"/>
  <c r="W32" i="12"/>
  <c r="Z31" i="12"/>
  <c r="W31" i="12"/>
  <c r="Z30" i="12"/>
  <c r="W30" i="12"/>
  <c r="Z29" i="12"/>
  <c r="W29" i="12"/>
  <c r="Z28" i="12"/>
  <c r="W28" i="12"/>
  <c r="Z27" i="12"/>
  <c r="W27" i="12"/>
  <c r="Z26" i="12"/>
  <c r="W26" i="12"/>
  <c r="Z25" i="12"/>
  <c r="W25" i="12"/>
  <c r="K25" i="12"/>
  <c r="Z24" i="12"/>
  <c r="W24" i="12"/>
  <c r="K24" i="12"/>
  <c r="H24" i="12"/>
  <c r="K23" i="12"/>
  <c r="H23" i="12"/>
  <c r="Z22" i="12"/>
  <c r="W22" i="12"/>
  <c r="K22" i="12"/>
  <c r="H22" i="12"/>
  <c r="Z21" i="12"/>
  <c r="W21" i="12"/>
  <c r="K21" i="12"/>
  <c r="H21" i="12"/>
  <c r="Z20" i="12"/>
  <c r="W20" i="12"/>
  <c r="K20" i="12"/>
  <c r="H20" i="12"/>
  <c r="Z19" i="12"/>
  <c r="W19" i="12"/>
  <c r="K19" i="12"/>
  <c r="H19" i="12"/>
  <c r="Z18" i="12"/>
  <c r="W18" i="12"/>
  <c r="K18" i="12"/>
  <c r="H18" i="12"/>
  <c r="Z17" i="12"/>
  <c r="W17" i="12"/>
  <c r="K17" i="12"/>
  <c r="H17" i="12"/>
  <c r="Z16" i="12"/>
  <c r="W16" i="12"/>
  <c r="K16" i="12"/>
  <c r="H16" i="12"/>
  <c r="C16" i="12"/>
  <c r="Z15" i="12"/>
  <c r="W15" i="12"/>
  <c r="K15" i="12"/>
  <c r="H15" i="12"/>
  <c r="C15" i="12"/>
  <c r="Z14" i="12"/>
  <c r="W14" i="12"/>
  <c r="K14" i="12"/>
  <c r="H14" i="12"/>
  <c r="C14" i="12"/>
  <c r="Z13" i="12"/>
  <c r="K13" i="12"/>
  <c r="Z12" i="12"/>
  <c r="W12" i="12"/>
  <c r="K12" i="12"/>
  <c r="H12" i="12"/>
  <c r="K11" i="12"/>
  <c r="H11" i="12"/>
  <c r="Z10" i="12"/>
  <c r="W10" i="12"/>
  <c r="K10" i="12"/>
  <c r="H10" i="12"/>
  <c r="Z9" i="12"/>
  <c r="W9" i="12"/>
  <c r="K9" i="12"/>
  <c r="Z8" i="12"/>
  <c r="W8" i="12"/>
  <c r="K8" i="12"/>
  <c r="H8" i="12"/>
  <c r="Z7" i="12"/>
  <c r="W7" i="12"/>
  <c r="K7" i="12"/>
  <c r="H7" i="12"/>
  <c r="Z6" i="12"/>
  <c r="W6" i="12"/>
  <c r="K6" i="12"/>
  <c r="H6" i="12"/>
  <c r="Z5" i="12"/>
  <c r="W5" i="12"/>
  <c r="K5" i="12"/>
  <c r="H5" i="12"/>
  <c r="AH67" i="3" l="1"/>
  <c r="Y65" i="3"/>
  <c r="AP65" i="3"/>
  <c r="AI64" i="3"/>
  <c r="AQ64" i="3"/>
  <c r="Z68" i="3"/>
  <c r="AQ68" i="3"/>
  <c r="AH64" i="3"/>
  <c r="AP64" i="3"/>
  <c r="Y68" i="3"/>
  <c r="AP68" i="3"/>
  <c r="Z65" i="3"/>
  <c r="AQ65" i="3"/>
  <c r="B23" i="11"/>
  <c r="B25" i="11"/>
  <c r="B26" i="11"/>
  <c r="B27" i="11"/>
  <c r="B22" i="11"/>
  <c r="S38" i="11"/>
  <c r="S39" i="11"/>
  <c r="S40" i="11"/>
  <c r="S41" i="11"/>
  <c r="T32" i="11"/>
  <c r="S32" i="11" s="1"/>
  <c r="T33" i="11"/>
  <c r="S33" i="11" s="1"/>
  <c r="T31" i="11"/>
  <c r="T34" i="11"/>
  <c r="S34" i="11" s="1"/>
  <c r="T35" i="11"/>
  <c r="S35" i="11" s="1"/>
  <c r="T36" i="11"/>
  <c r="S36" i="11" s="1"/>
  <c r="T37" i="11"/>
  <c r="S37" i="11" s="1"/>
  <c r="T30" i="11"/>
  <c r="T45" i="11"/>
  <c r="T46" i="11"/>
  <c r="T47" i="11"/>
  <c r="T48" i="11"/>
  <c r="T49" i="11"/>
  <c r="T43" i="11"/>
  <c r="H27" i="11"/>
  <c r="AQ74" i="3" l="1"/>
  <c r="AP74" i="3"/>
  <c r="AQ71" i="3"/>
  <c r="AP71" i="3"/>
  <c r="U64" i="3"/>
  <c r="X63" i="3"/>
  <c r="V63" i="3"/>
  <c r="X62" i="3"/>
  <c r="V62" i="3"/>
  <c r="V27" i="3"/>
  <c r="V26" i="3"/>
  <c r="X60" i="3"/>
  <c r="X59" i="3"/>
  <c r="V60" i="3"/>
  <c r="V59" i="3"/>
  <c r="S63" i="3"/>
  <c r="Y63" i="3" s="1"/>
  <c r="R63" i="3"/>
  <c r="Z63" i="3" s="1"/>
  <c r="S62" i="3"/>
  <c r="AP62" i="3" s="1"/>
  <c r="R62" i="3"/>
  <c r="AQ62" i="3" s="1"/>
  <c r="S60" i="3"/>
  <c r="Y60" i="3" s="1"/>
  <c r="R60" i="3"/>
  <c r="Z60" i="3" s="1"/>
  <c r="S59" i="3"/>
  <c r="Y59" i="3" s="1"/>
  <c r="R59" i="3"/>
  <c r="Z59" i="3" s="1"/>
  <c r="X27" i="3"/>
  <c r="X26" i="3"/>
  <c r="S18" i="3"/>
  <c r="S27" i="3"/>
  <c r="Y27" i="3" s="1"/>
  <c r="R27" i="3"/>
  <c r="Z27" i="3" s="1"/>
  <c r="S26" i="3"/>
  <c r="Y26" i="3" s="1"/>
  <c r="R26" i="3"/>
  <c r="Z26" i="3" s="1"/>
  <c r="R18" i="3"/>
  <c r="AF28" i="3"/>
  <c r="AG28" i="3" s="1"/>
  <c r="AN64" i="3" l="1"/>
  <c r="AE64" i="3"/>
  <c r="AQ26" i="3"/>
  <c r="AP26" i="3"/>
  <c r="U65" i="3"/>
  <c r="Y62" i="3"/>
  <c r="Z62" i="3"/>
  <c r="AN65" i="3" l="1"/>
  <c r="U67" i="3"/>
  <c r="AA53" i="11"/>
  <c r="AA52" i="11"/>
  <c r="AA47" i="11"/>
  <c r="X47" i="11"/>
  <c r="AA46" i="11"/>
  <c r="X46" i="11"/>
  <c r="AA45" i="11"/>
  <c r="X45" i="11"/>
  <c r="AA44" i="11"/>
  <c r="X44" i="11"/>
  <c r="AA43" i="11"/>
  <c r="X43" i="11"/>
  <c r="AA42" i="11"/>
  <c r="AA35" i="11"/>
  <c r="X35" i="11"/>
  <c r="AA34" i="11"/>
  <c r="X34" i="11"/>
  <c r="AA33" i="11"/>
  <c r="X33" i="11"/>
  <c r="AA32" i="11"/>
  <c r="X32" i="11"/>
  <c r="AA31" i="11"/>
  <c r="X31" i="11"/>
  <c r="AA30" i="11"/>
  <c r="X30" i="11"/>
  <c r="AA29" i="11"/>
  <c r="X29" i="11"/>
  <c r="AA28" i="11"/>
  <c r="X28" i="11"/>
  <c r="AA27" i="11"/>
  <c r="X27" i="11"/>
  <c r="AA26" i="11"/>
  <c r="X26" i="11"/>
  <c r="AA25" i="11"/>
  <c r="X25" i="11"/>
  <c r="K25" i="11"/>
  <c r="AA24" i="11"/>
  <c r="X24" i="11"/>
  <c r="K24" i="11"/>
  <c r="K23" i="11"/>
  <c r="H23" i="11"/>
  <c r="AA22" i="11"/>
  <c r="X22" i="11"/>
  <c r="K22" i="11"/>
  <c r="H22" i="11"/>
  <c r="AA21" i="11"/>
  <c r="X21" i="11"/>
  <c r="K21" i="11"/>
  <c r="H21" i="11"/>
  <c r="AA20" i="11"/>
  <c r="X20" i="11"/>
  <c r="K20" i="11"/>
  <c r="H20" i="11"/>
  <c r="AA19" i="11"/>
  <c r="X19" i="11"/>
  <c r="K19" i="11"/>
  <c r="H19" i="11"/>
  <c r="AA18" i="11"/>
  <c r="X18" i="11"/>
  <c r="K18" i="11"/>
  <c r="H18" i="11"/>
  <c r="AA17" i="11"/>
  <c r="X17" i="11"/>
  <c r="K17" i="11"/>
  <c r="H17" i="11"/>
  <c r="AA16" i="11"/>
  <c r="X16" i="11"/>
  <c r="K16" i="11"/>
  <c r="H16" i="11"/>
  <c r="C16" i="11"/>
  <c r="AA15" i="11"/>
  <c r="X15" i="11"/>
  <c r="K15" i="11"/>
  <c r="H15" i="11"/>
  <c r="C15" i="11"/>
  <c r="AA14" i="11"/>
  <c r="X14" i="11"/>
  <c r="K14" i="11"/>
  <c r="H14" i="11"/>
  <c r="C14" i="11"/>
  <c r="AA13" i="11"/>
  <c r="K13" i="11"/>
  <c r="AA12" i="11"/>
  <c r="X12" i="11"/>
  <c r="K12" i="11"/>
  <c r="H12" i="11"/>
  <c r="K11" i="11"/>
  <c r="H11" i="11"/>
  <c r="AA10" i="11"/>
  <c r="X10" i="11"/>
  <c r="K10" i="11"/>
  <c r="H10" i="11"/>
  <c r="AA9" i="11"/>
  <c r="X9" i="11"/>
  <c r="K9" i="11"/>
  <c r="AA8" i="11"/>
  <c r="X8" i="11"/>
  <c r="K8" i="11"/>
  <c r="H8" i="11"/>
  <c r="AA7" i="11"/>
  <c r="X7" i="11"/>
  <c r="K7" i="11"/>
  <c r="H7" i="11"/>
  <c r="AA6" i="11"/>
  <c r="X6" i="11"/>
  <c r="K6" i="11"/>
  <c r="H6" i="11"/>
  <c r="AA5" i="11"/>
  <c r="X5" i="11"/>
  <c r="K5" i="11"/>
  <c r="H5" i="11"/>
  <c r="U68" i="3" l="1"/>
  <c r="AE67" i="3"/>
  <c r="U70" i="3" l="1"/>
  <c r="U71" i="3" s="1"/>
  <c r="U109" i="3"/>
  <c r="AN68" i="3"/>
  <c r="AT67" i="3"/>
  <c r="AN71" i="3"/>
  <c r="U73" i="3"/>
  <c r="U74" i="3" s="1"/>
  <c r="U76" i="3" s="1"/>
  <c r="B18" i="9"/>
  <c r="B17" i="9"/>
  <c r="B16" i="9"/>
  <c r="B15" i="9"/>
  <c r="B14" i="9"/>
  <c r="B12" i="9"/>
  <c r="B11" i="9"/>
  <c r="B10" i="9"/>
  <c r="B9" i="9"/>
  <c r="B8" i="9"/>
  <c r="B7" i="9"/>
  <c r="B6" i="9"/>
  <c r="B5" i="9"/>
  <c r="B4" i="9"/>
  <c r="B3" i="9"/>
  <c r="S61" i="3"/>
  <c r="AP61" i="3" s="1"/>
  <c r="R61" i="3"/>
  <c r="AQ61" i="3" s="1"/>
  <c r="U77" i="3" l="1"/>
  <c r="AN76" i="3"/>
  <c r="AT70" i="3"/>
  <c r="AN74" i="3"/>
  <c r="AT73" i="3" s="1"/>
  <c r="AN109" i="3"/>
  <c r="AI61" i="3"/>
  <c r="AH61" i="3"/>
  <c r="AF61" i="3"/>
  <c r="AG61" i="3" s="1"/>
  <c r="B1" i="3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U79" i="3" l="1"/>
  <c r="AN77" i="3"/>
  <c r="AG1" i="3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U80" i="3" l="1"/>
  <c r="AN79" i="3"/>
  <c r="AT76" i="3"/>
  <c r="AQ73" i="3"/>
  <c r="AP73" i="3"/>
  <c r="AN73" i="3"/>
  <c r="AT74" i="3" s="1"/>
  <c r="AN70" i="3"/>
  <c r="AN67" i="3"/>
  <c r="AT68" i="3" s="1"/>
  <c r="AN62" i="3"/>
  <c r="AT64" i="3" s="1"/>
  <c r="AN59" i="3"/>
  <c r="AT61" i="3" s="1"/>
  <c r="AN61" i="3"/>
  <c r="AT62" i="3" s="1"/>
  <c r="AN58" i="3"/>
  <c r="AN56" i="3"/>
  <c r="AN55" i="3"/>
  <c r="AN53" i="3"/>
  <c r="AN52" i="3"/>
  <c r="AN50" i="3"/>
  <c r="AN49" i="3"/>
  <c r="AT50" i="3" s="1"/>
  <c r="AN47" i="3"/>
  <c r="AN46" i="3"/>
  <c r="AN44" i="3"/>
  <c r="AN43" i="3"/>
  <c r="AN41" i="3"/>
  <c r="AN40" i="3"/>
  <c r="AN38" i="3"/>
  <c r="AN37" i="3"/>
  <c r="AT38" i="3" s="1"/>
  <c r="AN35" i="3"/>
  <c r="AT37" i="3" s="1"/>
  <c r="AN34" i="3"/>
  <c r="AN31" i="3"/>
  <c r="AN32" i="3"/>
  <c r="AN26" i="3"/>
  <c r="AT28" i="3" s="1"/>
  <c r="AN28" i="3"/>
  <c r="AT29" i="3" s="1"/>
  <c r="AN25" i="3"/>
  <c r="AN23" i="3"/>
  <c r="AN22" i="3"/>
  <c r="AT23" i="3" s="1"/>
  <c r="AN20" i="3"/>
  <c r="AN14" i="3"/>
  <c r="AT26" i="3" l="1"/>
  <c r="AT49" i="3"/>
  <c r="AT25" i="3"/>
  <c r="AT52" i="3"/>
  <c r="AT40" i="3"/>
  <c r="AT41" i="3"/>
  <c r="AT53" i="3"/>
  <c r="AT77" i="3"/>
  <c r="AT71" i="3"/>
  <c r="U82" i="3"/>
  <c r="AN80" i="3"/>
  <c r="AT65" i="3"/>
  <c r="AT32" i="3"/>
  <c r="AT43" i="3"/>
  <c r="AT55" i="3"/>
  <c r="AT44" i="3"/>
  <c r="AT56" i="3"/>
  <c r="AT34" i="3"/>
  <c r="AT46" i="3"/>
  <c r="AT58" i="3"/>
  <c r="AT31" i="3"/>
  <c r="AT20" i="3"/>
  <c r="AT22" i="3"/>
  <c r="AT35" i="3"/>
  <c r="AT47" i="3"/>
  <c r="AT59" i="3"/>
  <c r="AN12" i="3"/>
  <c r="AT14" i="3" s="1"/>
  <c r="AN10" i="3"/>
  <c r="AT12" i="3" s="1"/>
  <c r="AN9" i="3"/>
  <c r="AN6" i="3"/>
  <c r="AN7" i="3"/>
  <c r="U83" i="3" l="1"/>
  <c r="AN82" i="3"/>
  <c r="AT79" i="3"/>
  <c r="AT10" i="3"/>
  <c r="AT7" i="3"/>
  <c r="AT9" i="3"/>
  <c r="AT6" i="3"/>
  <c r="AF55" i="3"/>
  <c r="AG55" i="3" s="1"/>
  <c r="AF12" i="3"/>
  <c r="AG12" i="3" s="1"/>
  <c r="AF58" i="3"/>
  <c r="AG58" i="3" s="1"/>
  <c r="AF52" i="3"/>
  <c r="AG52" i="3" s="1"/>
  <c r="AF49" i="3"/>
  <c r="AG49" i="3" s="1"/>
  <c r="AF46" i="3"/>
  <c r="AG46" i="3" s="1"/>
  <c r="AF43" i="3"/>
  <c r="AG43" i="3" s="1"/>
  <c r="AF40" i="3"/>
  <c r="AG40" i="3" s="1"/>
  <c r="AF37" i="3"/>
  <c r="AG37" i="3" s="1"/>
  <c r="AF34" i="3"/>
  <c r="AG34" i="3" s="1"/>
  <c r="AF31" i="3"/>
  <c r="AG31" i="3" s="1"/>
  <c r="AF22" i="3"/>
  <c r="AG22" i="3" s="1"/>
  <c r="AF25" i="3"/>
  <c r="AG25" i="3" s="1"/>
  <c r="AF16" i="3"/>
  <c r="AG16" i="3" s="1"/>
  <c r="AF9" i="3"/>
  <c r="AG9" i="3" s="1"/>
  <c r="AF6" i="3"/>
  <c r="AG6" i="3" s="1"/>
  <c r="X57" i="3"/>
  <c r="X56" i="3"/>
  <c r="X54" i="3"/>
  <c r="X53" i="3"/>
  <c r="X51" i="3"/>
  <c r="X50" i="3"/>
  <c r="X48" i="3"/>
  <c r="X47" i="3"/>
  <c r="X45" i="3"/>
  <c r="X44" i="3"/>
  <c r="X42" i="3"/>
  <c r="X41" i="3"/>
  <c r="X39" i="3"/>
  <c r="X38" i="3"/>
  <c r="X36" i="3"/>
  <c r="X35" i="3"/>
  <c r="X33" i="3"/>
  <c r="X32" i="3"/>
  <c r="X24" i="3"/>
  <c r="X23" i="3"/>
  <c r="X21" i="3"/>
  <c r="X20" i="3"/>
  <c r="X14" i="3"/>
  <c r="X11" i="3"/>
  <c r="X10" i="3"/>
  <c r="X8" i="3"/>
  <c r="X7" i="3"/>
  <c r="AT80" i="3" l="1"/>
  <c r="U85" i="3"/>
  <c r="AN83" i="3"/>
  <c r="S6" i="3"/>
  <c r="AH6" i="3" s="1"/>
  <c r="AP6" i="3" s="1"/>
  <c r="R6" i="3"/>
  <c r="AI6" i="3" s="1"/>
  <c r="AQ6" i="3" s="1"/>
  <c r="AT82" i="3" l="1"/>
  <c r="U86" i="3"/>
  <c r="AN85" i="3"/>
  <c r="S25" i="3"/>
  <c r="AH25" i="3" s="1"/>
  <c r="AP25" i="3" s="1"/>
  <c r="R25" i="3"/>
  <c r="AI25" i="3" s="1"/>
  <c r="AQ25" i="3" s="1"/>
  <c r="AT83" i="3" l="1"/>
  <c r="U88" i="3"/>
  <c r="AN86" i="3"/>
  <c r="S57" i="3"/>
  <c r="Y57" i="3" s="1"/>
  <c r="R57" i="3"/>
  <c r="Z57" i="3" s="1"/>
  <c r="S54" i="3"/>
  <c r="Y54" i="3" s="1"/>
  <c r="R54" i="3"/>
  <c r="Z54" i="3" s="1"/>
  <c r="S24" i="3"/>
  <c r="Y24" i="3" s="1"/>
  <c r="R24" i="3"/>
  <c r="Z24" i="3" s="1"/>
  <c r="S23" i="3"/>
  <c r="Y23" i="3" s="1"/>
  <c r="AP23" i="3" s="1"/>
  <c r="R23" i="3"/>
  <c r="Z23" i="3" s="1"/>
  <c r="AQ23" i="3" s="1"/>
  <c r="U89" i="3" l="1"/>
  <c r="AN88" i="3"/>
  <c r="AT85" i="3"/>
  <c r="S16" i="3"/>
  <c r="AH16" i="3" s="1"/>
  <c r="R16" i="3"/>
  <c r="AI16" i="3" s="1"/>
  <c r="S55" i="3"/>
  <c r="AH55" i="3" s="1"/>
  <c r="AP55" i="3" s="1"/>
  <c r="R55" i="3"/>
  <c r="AI55" i="3" s="1"/>
  <c r="AQ55" i="3" s="1"/>
  <c r="S58" i="3"/>
  <c r="AH58" i="3" s="1"/>
  <c r="AP58" i="3" s="1"/>
  <c r="R58" i="3"/>
  <c r="AI58" i="3" s="1"/>
  <c r="AQ58" i="3" s="1"/>
  <c r="AN89" i="3" l="1"/>
  <c r="U91" i="3"/>
  <c r="AT86" i="3"/>
  <c r="AP59" i="3"/>
  <c r="AQ59" i="3"/>
  <c r="S56" i="3"/>
  <c r="Y56" i="3" s="1"/>
  <c r="AP56" i="3" s="1"/>
  <c r="R56" i="3"/>
  <c r="Z56" i="3" s="1"/>
  <c r="AQ56" i="3" s="1"/>
  <c r="S53" i="3"/>
  <c r="Y53" i="3" s="1"/>
  <c r="AP53" i="3" s="1"/>
  <c r="R53" i="3"/>
  <c r="Z53" i="3" s="1"/>
  <c r="AQ53" i="3" s="1"/>
  <c r="U92" i="3" l="1"/>
  <c r="AN91" i="3"/>
  <c r="AT88" i="3"/>
  <c r="R52" i="3"/>
  <c r="AI52" i="3" s="1"/>
  <c r="AQ52" i="3" s="1"/>
  <c r="S52" i="3"/>
  <c r="AH52" i="3" s="1"/>
  <c r="AP52" i="3" s="1"/>
  <c r="S5" i="3"/>
  <c r="S11" i="3"/>
  <c r="Y11" i="3" s="1"/>
  <c r="R11" i="3"/>
  <c r="Z11" i="3" s="1"/>
  <c r="S10" i="3"/>
  <c r="Y10" i="3" s="1"/>
  <c r="AP10" i="3" s="1"/>
  <c r="R10" i="3"/>
  <c r="Z10" i="3" s="1"/>
  <c r="AQ10" i="3" s="1"/>
  <c r="S15" i="3"/>
  <c r="R15" i="3"/>
  <c r="S14" i="3"/>
  <c r="Y14" i="3" s="1"/>
  <c r="AP14" i="3" s="1"/>
  <c r="R14" i="3"/>
  <c r="Z14" i="3" s="1"/>
  <c r="AQ14" i="3" s="1"/>
  <c r="S8" i="3"/>
  <c r="Y8" i="3" s="1"/>
  <c r="R8" i="3"/>
  <c r="Z8" i="3" s="1"/>
  <c r="S7" i="3"/>
  <c r="Y7" i="3" s="1"/>
  <c r="AP7" i="3" s="1"/>
  <c r="R7" i="3"/>
  <c r="Z7" i="3" s="1"/>
  <c r="AQ7" i="3" s="1"/>
  <c r="R5" i="3"/>
  <c r="R9" i="3"/>
  <c r="AI9" i="3" s="1"/>
  <c r="AQ9" i="3" s="1"/>
  <c r="S9" i="3"/>
  <c r="AH9" i="3" s="1"/>
  <c r="AP9" i="3" s="1"/>
  <c r="S108" i="3"/>
  <c r="R108" i="3"/>
  <c r="S51" i="3"/>
  <c r="Y51" i="3" s="1"/>
  <c r="R51" i="3"/>
  <c r="Z51" i="3" s="1"/>
  <c r="S50" i="3"/>
  <c r="Y50" i="3" s="1"/>
  <c r="AP50" i="3" s="1"/>
  <c r="R50" i="3"/>
  <c r="Z50" i="3" s="1"/>
  <c r="AQ50" i="3" s="1"/>
  <c r="S49" i="3"/>
  <c r="AH49" i="3" s="1"/>
  <c r="AP49" i="3" s="1"/>
  <c r="R49" i="3"/>
  <c r="AI49" i="3" s="1"/>
  <c r="AQ49" i="3" s="1"/>
  <c r="S48" i="3"/>
  <c r="Y48" i="3" s="1"/>
  <c r="R48" i="3"/>
  <c r="Z48" i="3" s="1"/>
  <c r="S47" i="3"/>
  <c r="Y47" i="3" s="1"/>
  <c r="AP47" i="3" s="1"/>
  <c r="R47" i="3"/>
  <c r="Z47" i="3" s="1"/>
  <c r="AQ47" i="3" s="1"/>
  <c r="S46" i="3"/>
  <c r="AH46" i="3" s="1"/>
  <c r="AP46" i="3" s="1"/>
  <c r="R46" i="3"/>
  <c r="AI46" i="3" s="1"/>
  <c r="AQ46" i="3" s="1"/>
  <c r="S45" i="3"/>
  <c r="Y45" i="3" s="1"/>
  <c r="R45" i="3"/>
  <c r="Z45" i="3" s="1"/>
  <c r="S44" i="3"/>
  <c r="Y44" i="3" s="1"/>
  <c r="AP44" i="3" s="1"/>
  <c r="R44" i="3"/>
  <c r="Z44" i="3" s="1"/>
  <c r="AQ44" i="3" s="1"/>
  <c r="S43" i="3"/>
  <c r="AH43" i="3" s="1"/>
  <c r="AP43" i="3" s="1"/>
  <c r="R43" i="3"/>
  <c r="AI43" i="3" s="1"/>
  <c r="AQ43" i="3" s="1"/>
  <c r="S42" i="3"/>
  <c r="Y42" i="3" s="1"/>
  <c r="R42" i="3"/>
  <c r="Z42" i="3" s="1"/>
  <c r="S41" i="3"/>
  <c r="Y41" i="3" s="1"/>
  <c r="AP41" i="3" s="1"/>
  <c r="R41" i="3"/>
  <c r="Z41" i="3" s="1"/>
  <c r="AQ41" i="3" s="1"/>
  <c r="S40" i="3"/>
  <c r="AH40" i="3" s="1"/>
  <c r="AP40" i="3" s="1"/>
  <c r="R40" i="3"/>
  <c r="AI40" i="3" s="1"/>
  <c r="AQ40" i="3" s="1"/>
  <c r="S39" i="3"/>
  <c r="Y39" i="3" s="1"/>
  <c r="R39" i="3"/>
  <c r="Z39" i="3" s="1"/>
  <c r="S38" i="3"/>
  <c r="Y38" i="3" s="1"/>
  <c r="AP38" i="3" s="1"/>
  <c r="R38" i="3"/>
  <c r="Z38" i="3" s="1"/>
  <c r="AQ38" i="3" s="1"/>
  <c r="S37" i="3"/>
  <c r="AH37" i="3" s="1"/>
  <c r="AP37" i="3" s="1"/>
  <c r="R37" i="3"/>
  <c r="AI37" i="3" s="1"/>
  <c r="AQ37" i="3" s="1"/>
  <c r="S36" i="3"/>
  <c r="Y36" i="3" s="1"/>
  <c r="R36" i="3"/>
  <c r="Z36" i="3" s="1"/>
  <c r="S35" i="3"/>
  <c r="Y35" i="3" s="1"/>
  <c r="AP35" i="3" s="1"/>
  <c r="R35" i="3"/>
  <c r="Z35" i="3" s="1"/>
  <c r="AQ35" i="3" s="1"/>
  <c r="S34" i="3"/>
  <c r="AH34" i="3" s="1"/>
  <c r="AP34" i="3" s="1"/>
  <c r="R34" i="3"/>
  <c r="AI34" i="3" s="1"/>
  <c r="AQ34" i="3" s="1"/>
  <c r="S33" i="3"/>
  <c r="Y33" i="3" s="1"/>
  <c r="R33" i="3"/>
  <c r="Z33" i="3" s="1"/>
  <c r="S32" i="3"/>
  <c r="Y32" i="3" s="1"/>
  <c r="AP32" i="3" s="1"/>
  <c r="R32" i="3"/>
  <c r="Z32" i="3" s="1"/>
  <c r="AQ32" i="3" s="1"/>
  <c r="S31" i="3"/>
  <c r="AH31" i="3" s="1"/>
  <c r="AP31" i="3" s="1"/>
  <c r="R31" i="3"/>
  <c r="AI31" i="3" s="1"/>
  <c r="AQ31" i="3" s="1"/>
  <c r="S17" i="3"/>
  <c r="R17" i="3"/>
  <c r="S28" i="3"/>
  <c r="R28" i="3"/>
  <c r="S22" i="3"/>
  <c r="AH22" i="3" s="1"/>
  <c r="AP22" i="3" s="1"/>
  <c r="R22" i="3"/>
  <c r="AI22" i="3" s="1"/>
  <c r="AQ22" i="3" s="1"/>
  <c r="S21" i="3"/>
  <c r="Y21" i="3" s="1"/>
  <c r="R21" i="3"/>
  <c r="Z21" i="3" s="1"/>
  <c r="S20" i="3"/>
  <c r="Y20" i="3" s="1"/>
  <c r="AP20" i="3" s="1"/>
  <c r="R20" i="3"/>
  <c r="Z20" i="3" s="1"/>
  <c r="AQ20" i="3" s="1"/>
  <c r="S12" i="3"/>
  <c r="AH12" i="3" s="1"/>
  <c r="AP12" i="3" s="1"/>
  <c r="R12" i="3"/>
  <c r="AI12" i="3" s="1"/>
  <c r="AQ12" i="3" s="1"/>
  <c r="K51" i="3"/>
  <c r="K50" i="3"/>
  <c r="K48" i="3"/>
  <c r="K47" i="3"/>
  <c r="K45" i="3"/>
  <c r="K44" i="3"/>
  <c r="K42" i="3"/>
  <c r="K41" i="3"/>
  <c r="K39" i="3"/>
  <c r="K38" i="3"/>
  <c r="F37" i="3"/>
  <c r="K36" i="3"/>
  <c r="K35" i="3"/>
  <c r="F34" i="3"/>
  <c r="K33" i="3"/>
  <c r="K32" i="3"/>
  <c r="F31" i="3"/>
  <c r="K17" i="3"/>
  <c r="AT89" i="3" l="1"/>
  <c r="AN92" i="3"/>
  <c r="U94" i="3"/>
  <c r="AI28" i="3"/>
  <c r="AQ28" i="3"/>
  <c r="AH28" i="3"/>
  <c r="AP28" i="3"/>
  <c r="U39" i="11"/>
  <c r="U41" i="11"/>
  <c r="U40" i="11"/>
  <c r="U38" i="11"/>
  <c r="U95" i="3" l="1"/>
  <c r="AN94" i="3"/>
  <c r="AT91" i="3"/>
  <c r="AT92" i="3" l="1"/>
  <c r="AN95" i="3"/>
  <c r="U97" i="3"/>
  <c r="U98" i="3" l="1"/>
  <c r="AN97" i="3"/>
  <c r="AT94" i="3"/>
  <c r="AT95" i="3" l="1"/>
  <c r="AN98" i="3"/>
  <c r="U100" i="3"/>
  <c r="U101" i="3" l="1"/>
  <c r="AN100" i="3"/>
  <c r="AT97" i="3"/>
  <c r="AT98" i="3" l="1"/>
  <c r="AN101" i="3"/>
  <c r="U103" i="3"/>
  <c r="U104" i="3" l="1"/>
  <c r="AN103" i="3"/>
  <c r="AT104" i="3" s="1"/>
  <c r="AT100" i="3"/>
  <c r="AT101" i="3" l="1"/>
  <c r="AN104" i="3"/>
  <c r="AT10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ユーザー</author>
  </authors>
  <commentList>
    <comment ref="C18" authorId="0" shapeId="0" xr:uid="{00000000-0006-0000-0100-000001000000}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ユーザー:交差部</t>
        </r>
      </text>
    </comment>
  </commentList>
</comments>
</file>

<file path=xl/sharedStrings.xml><?xml version="1.0" encoding="utf-8"?>
<sst xmlns="http://schemas.openxmlformats.org/spreadsheetml/2006/main" count="2941" uniqueCount="495">
  <si>
    <t>作業坑</t>
    <rPh sb="0" eb="2">
      <t>サギョウ</t>
    </rPh>
    <rPh sb="2" eb="3">
      <t>コウ</t>
    </rPh>
    <phoneticPr fontId="2"/>
  </si>
  <si>
    <t>111(点火小屋　動）</t>
    <rPh sb="4" eb="6">
      <t>テンカ</t>
    </rPh>
    <rPh sb="6" eb="8">
      <t>コヤ</t>
    </rPh>
    <rPh sb="9" eb="10">
      <t>ドウ</t>
    </rPh>
    <phoneticPr fontId="1"/>
  </si>
  <si>
    <t>105(動）</t>
    <rPh sb="4" eb="5">
      <t>ドウ</t>
    </rPh>
    <phoneticPr fontId="1"/>
  </si>
  <si>
    <t>メモ
（IP末尾３桁）</t>
    <rPh sb="6" eb="8">
      <t>マツビ</t>
    </rPh>
    <rPh sb="9" eb="10">
      <t>ケタ</t>
    </rPh>
    <phoneticPr fontId="2"/>
  </si>
  <si>
    <t>トンネル中心から左側に(m)</t>
    <rPh sb="4" eb="6">
      <t>チュウシン</t>
    </rPh>
    <rPh sb="8" eb="9">
      <t>ヒダリ</t>
    </rPh>
    <rPh sb="9" eb="10">
      <t>ガワ</t>
    </rPh>
    <phoneticPr fontId="2"/>
  </si>
  <si>
    <t>X</t>
    <phoneticPr fontId="2"/>
  </si>
  <si>
    <t>Y</t>
    <phoneticPr fontId="2"/>
  </si>
  <si>
    <t>絶対座標</t>
    <rPh sb="0" eb="2">
      <t>ゼッタイ</t>
    </rPh>
    <rPh sb="2" eb="4">
      <t>ザヒョウ</t>
    </rPh>
    <phoneticPr fontId="2"/>
  </si>
  <si>
    <t>吞口側</t>
    <rPh sb="0" eb="2">
      <t>ノミクチ</t>
    </rPh>
    <rPh sb="2" eb="3">
      <t>ガワ</t>
    </rPh>
    <phoneticPr fontId="2"/>
  </si>
  <si>
    <t>吐口側</t>
    <rPh sb="0" eb="1">
      <t>ハ</t>
    </rPh>
    <rPh sb="1" eb="2">
      <t>クチ</t>
    </rPh>
    <rPh sb="2" eb="3">
      <t>ガワ</t>
    </rPh>
    <phoneticPr fontId="2"/>
  </si>
  <si>
    <t>坑口からの
距離(m)
作業坑225換算</t>
    <rPh sb="0" eb="2">
      <t>コウグチ</t>
    </rPh>
    <rPh sb="6" eb="8">
      <t>キョリ</t>
    </rPh>
    <rPh sb="12" eb="14">
      <t>サギョウ</t>
    </rPh>
    <rPh sb="14" eb="15">
      <t>コウ</t>
    </rPh>
    <rPh sb="18" eb="20">
      <t>カンサン</t>
    </rPh>
    <phoneticPr fontId="2"/>
  </si>
  <si>
    <t>83F9</t>
    <phoneticPr fontId="2"/>
  </si>
  <si>
    <t>9</t>
  </si>
  <si>
    <t>13</t>
  </si>
  <si>
    <t>14</t>
  </si>
  <si>
    <t>16</t>
  </si>
  <si>
    <t>15</t>
  </si>
  <si>
    <t>17</t>
  </si>
  <si>
    <t>18</t>
  </si>
  <si>
    <t>19</t>
  </si>
  <si>
    <t>20</t>
  </si>
  <si>
    <t>21</t>
  </si>
  <si>
    <t>22</t>
  </si>
  <si>
    <t>23</t>
  </si>
  <si>
    <t>24</t>
  </si>
  <si>
    <t>26</t>
  </si>
  <si>
    <t>25</t>
  </si>
  <si>
    <t>1000x</t>
    <phoneticPr fontId="2"/>
  </si>
  <si>
    <t>1000y</t>
    <phoneticPr fontId="2"/>
  </si>
  <si>
    <t>吞口</t>
    <rPh sb="0" eb="2">
      <t>ノミクチ</t>
    </rPh>
    <phoneticPr fontId="2"/>
  </si>
  <si>
    <t>吐口</t>
    <rPh sb="0" eb="1">
      <t>ハ</t>
    </rPh>
    <rPh sb="1" eb="2">
      <t>クチ</t>
    </rPh>
    <phoneticPr fontId="2"/>
  </si>
  <si>
    <t>緯度</t>
    <rPh sb="0" eb="2">
      <t>イド</t>
    </rPh>
    <phoneticPr fontId="2"/>
  </si>
  <si>
    <t>経度</t>
    <rPh sb="0" eb="2">
      <t>ケイド</t>
    </rPh>
    <phoneticPr fontId="2"/>
  </si>
  <si>
    <t>DEG</t>
    <phoneticPr fontId="3"/>
  </si>
  <si>
    <t>DMS
(世界測地系）</t>
    <rPh sb="5" eb="7">
      <t>セカイ</t>
    </rPh>
    <rPh sb="7" eb="9">
      <t>ソクチ</t>
    </rPh>
    <rPh sb="9" eb="10">
      <t>ケイ</t>
    </rPh>
    <phoneticPr fontId="2"/>
  </si>
  <si>
    <t>エリア名</t>
    <rPh sb="3" eb="4">
      <t>メイ</t>
    </rPh>
    <phoneticPr fontId="3"/>
  </si>
  <si>
    <t>作業坑002</t>
    <rPh sb="0" eb="2">
      <t>サギョウ</t>
    </rPh>
    <rPh sb="2" eb="3">
      <t>コウ</t>
    </rPh>
    <phoneticPr fontId="3"/>
  </si>
  <si>
    <t>本坑呑口002</t>
    <rPh sb="0" eb="2">
      <t>ホンコウ</t>
    </rPh>
    <rPh sb="2" eb="4">
      <t>ノミクチ</t>
    </rPh>
    <phoneticPr fontId="3"/>
  </si>
  <si>
    <t>本坑吐口001</t>
    <rPh sb="0" eb="2">
      <t>ホンコウ</t>
    </rPh>
    <rPh sb="2" eb="3">
      <t>ハ</t>
    </rPh>
    <rPh sb="3" eb="4">
      <t>グチ</t>
    </rPh>
    <phoneticPr fontId="3"/>
  </si>
  <si>
    <t>本坑吐口002</t>
    <rPh sb="0" eb="2">
      <t>ホンコウ</t>
    </rPh>
    <rPh sb="2" eb="3">
      <t>ハ</t>
    </rPh>
    <rPh sb="3" eb="4">
      <t>グチ</t>
    </rPh>
    <phoneticPr fontId="3"/>
  </si>
  <si>
    <t>本坑吐口003</t>
    <rPh sb="0" eb="2">
      <t>ホンコウ</t>
    </rPh>
    <rPh sb="2" eb="3">
      <t>ハ</t>
    </rPh>
    <rPh sb="3" eb="4">
      <t>グチ</t>
    </rPh>
    <phoneticPr fontId="3"/>
  </si>
  <si>
    <t>本坑吐口004</t>
    <rPh sb="0" eb="2">
      <t>ホンコウ</t>
    </rPh>
    <rPh sb="2" eb="3">
      <t>ハ</t>
    </rPh>
    <rPh sb="3" eb="4">
      <t>グチ</t>
    </rPh>
    <phoneticPr fontId="3"/>
  </si>
  <si>
    <t>本坑吐口005</t>
    <rPh sb="0" eb="2">
      <t>ホンコウ</t>
    </rPh>
    <rPh sb="2" eb="3">
      <t>ハ</t>
    </rPh>
    <rPh sb="3" eb="4">
      <t>グチ</t>
    </rPh>
    <phoneticPr fontId="3"/>
  </si>
  <si>
    <t>本坑吐口006</t>
    <rPh sb="0" eb="2">
      <t>ホンコウ</t>
    </rPh>
    <rPh sb="2" eb="3">
      <t>ハ</t>
    </rPh>
    <rPh sb="3" eb="4">
      <t>グチ</t>
    </rPh>
    <phoneticPr fontId="3"/>
  </si>
  <si>
    <t>本坑吐口007</t>
    <rPh sb="0" eb="2">
      <t>ホンコウ</t>
    </rPh>
    <rPh sb="2" eb="3">
      <t>ハ</t>
    </rPh>
    <rPh sb="3" eb="4">
      <t>グチ</t>
    </rPh>
    <phoneticPr fontId="3"/>
  </si>
  <si>
    <t>本坑吐口008</t>
    <rPh sb="0" eb="2">
      <t>ホンコウ</t>
    </rPh>
    <rPh sb="2" eb="3">
      <t>ハ</t>
    </rPh>
    <rPh sb="3" eb="4">
      <t>グチ</t>
    </rPh>
    <phoneticPr fontId="3"/>
  </si>
  <si>
    <t>本坑吐口009</t>
    <rPh sb="0" eb="2">
      <t>ホンコウ</t>
    </rPh>
    <rPh sb="2" eb="3">
      <t>ハ</t>
    </rPh>
    <rPh sb="3" eb="4">
      <t>グチ</t>
    </rPh>
    <phoneticPr fontId="3"/>
  </si>
  <si>
    <t>本坑吐口010</t>
    <rPh sb="0" eb="2">
      <t>ホンコウ</t>
    </rPh>
    <rPh sb="2" eb="3">
      <t>ハ</t>
    </rPh>
    <rPh sb="3" eb="4">
      <t>グチ</t>
    </rPh>
    <phoneticPr fontId="3"/>
  </si>
  <si>
    <t>本坑吐口011</t>
    <rPh sb="0" eb="2">
      <t>ホンコウ</t>
    </rPh>
    <rPh sb="2" eb="3">
      <t>ハ</t>
    </rPh>
    <rPh sb="3" eb="4">
      <t>グチ</t>
    </rPh>
    <phoneticPr fontId="3"/>
  </si>
  <si>
    <t>作業坑003</t>
    <rPh sb="0" eb="2">
      <t>サギョウ</t>
    </rPh>
    <rPh sb="2" eb="3">
      <t>コウ</t>
    </rPh>
    <phoneticPr fontId="3"/>
  </si>
  <si>
    <t>本坑吐口012</t>
    <rPh sb="0" eb="2">
      <t>ホンコウ</t>
    </rPh>
    <rPh sb="2" eb="3">
      <t>ハ</t>
    </rPh>
    <rPh sb="3" eb="4">
      <t>グチ</t>
    </rPh>
    <phoneticPr fontId="3"/>
  </si>
  <si>
    <t>本坑吐口013</t>
    <rPh sb="0" eb="2">
      <t>ホンコウ</t>
    </rPh>
    <rPh sb="2" eb="3">
      <t>ハ</t>
    </rPh>
    <rPh sb="3" eb="4">
      <t>グチ</t>
    </rPh>
    <phoneticPr fontId="3"/>
  </si>
  <si>
    <t>本坑吐口014</t>
    <rPh sb="0" eb="2">
      <t>ホンコウ</t>
    </rPh>
    <rPh sb="2" eb="3">
      <t>ハ</t>
    </rPh>
    <rPh sb="3" eb="4">
      <t>グチ</t>
    </rPh>
    <phoneticPr fontId="3"/>
  </si>
  <si>
    <t>種別</t>
    <rPh sb="0" eb="2">
      <t>シュベツ</t>
    </rPh>
    <phoneticPr fontId="2"/>
  </si>
  <si>
    <t>Wi-Fi</t>
    <phoneticPr fontId="2"/>
  </si>
  <si>
    <t>Beacon</t>
    <phoneticPr fontId="2"/>
  </si>
  <si>
    <t>本坑呑口003</t>
    <rPh sb="0" eb="2">
      <t>ホンコウ</t>
    </rPh>
    <rPh sb="2" eb="4">
      <t>ノミクチ</t>
    </rPh>
    <phoneticPr fontId="3"/>
  </si>
  <si>
    <t>左</t>
    <rPh sb="0" eb="1">
      <t>ヒダリ</t>
    </rPh>
    <phoneticPr fontId="2"/>
  </si>
  <si>
    <t>右</t>
    <rPh sb="0" eb="1">
      <t>ミギ</t>
    </rPh>
    <phoneticPr fontId="2"/>
  </si>
  <si>
    <t>設置位置</t>
    <rPh sb="0" eb="2">
      <t>セッチ</t>
    </rPh>
    <rPh sb="2" eb="4">
      <t>イチ</t>
    </rPh>
    <phoneticPr fontId="2"/>
  </si>
  <si>
    <t>進行方向に対して</t>
    <rPh sb="0" eb="2">
      <t>シンコウ</t>
    </rPh>
    <rPh sb="2" eb="4">
      <t>ホウコウ</t>
    </rPh>
    <rPh sb="5" eb="6">
      <t>タイ</t>
    </rPh>
    <phoneticPr fontId="2"/>
  </si>
  <si>
    <t>-</t>
    <phoneticPr fontId="2"/>
  </si>
  <si>
    <t>Beacon</t>
    <phoneticPr fontId="2"/>
  </si>
  <si>
    <t>-</t>
    <phoneticPr fontId="2"/>
  </si>
  <si>
    <t>a/b
No.</t>
    <phoneticPr fontId="2"/>
  </si>
  <si>
    <t>交差部</t>
    <rPh sb="0" eb="2">
      <t>コウサ</t>
    </rPh>
    <rPh sb="2" eb="3">
      <t>ブ</t>
    </rPh>
    <phoneticPr fontId="2"/>
  </si>
  <si>
    <t>作業坑004</t>
    <phoneticPr fontId="2"/>
  </si>
  <si>
    <t>作業坑005</t>
    <phoneticPr fontId="2"/>
  </si>
  <si>
    <t>7EED</t>
    <phoneticPr fontId="2"/>
  </si>
  <si>
    <t>x</t>
    <phoneticPr fontId="2"/>
  </si>
  <si>
    <t>y</t>
    <phoneticPr fontId="2"/>
  </si>
  <si>
    <t>00EBD55EC998</t>
    <phoneticPr fontId="2"/>
  </si>
  <si>
    <t>切羽手前</t>
    <rPh sb="0" eb="2">
      <t>キリハ</t>
    </rPh>
    <rPh sb="2" eb="4">
      <t>テマエ</t>
    </rPh>
    <phoneticPr fontId="3"/>
  </si>
  <si>
    <t>00EBD55EE060</t>
  </si>
  <si>
    <t>00EBD55EB300</t>
  </si>
  <si>
    <t>本坑吐口015</t>
    <phoneticPr fontId="2"/>
  </si>
  <si>
    <t>本坑吐口016</t>
    <phoneticPr fontId="2"/>
  </si>
  <si>
    <t>本坑吐口017</t>
    <phoneticPr fontId="2"/>
  </si>
  <si>
    <t>本坑吐口018</t>
    <phoneticPr fontId="2"/>
  </si>
  <si>
    <t>本坑吐口019</t>
    <phoneticPr fontId="2"/>
  </si>
  <si>
    <t>交差部</t>
    <rPh sb="0" eb="2">
      <t>コウサ</t>
    </rPh>
    <rPh sb="2" eb="3">
      <t>ブ</t>
    </rPh>
    <phoneticPr fontId="2"/>
  </si>
  <si>
    <t>id</t>
    <phoneticPr fontId="2"/>
  </si>
  <si>
    <t>major</t>
    <phoneticPr fontId="2"/>
  </si>
  <si>
    <t>minor</t>
    <phoneticPr fontId="2"/>
  </si>
  <si>
    <t>y</t>
    <phoneticPr fontId="2"/>
  </si>
  <si>
    <t>x</t>
    <phoneticPr fontId="2"/>
  </si>
  <si>
    <t>maxRssi</t>
    <phoneticPr fontId="2"/>
  </si>
  <si>
    <t>minRssi</t>
    <phoneticPr fontId="2"/>
  </si>
  <si>
    <t>b1</t>
    <phoneticPr fontId="3"/>
  </si>
  <si>
    <t>b2</t>
    <phoneticPr fontId="2"/>
  </si>
  <si>
    <t>b4</t>
    <phoneticPr fontId="3"/>
  </si>
  <si>
    <t>b5</t>
    <phoneticPr fontId="2"/>
  </si>
  <si>
    <t>b7</t>
    <phoneticPr fontId="3"/>
  </si>
  <si>
    <t>b11</t>
    <phoneticPr fontId="3"/>
  </si>
  <si>
    <t>b12</t>
    <phoneticPr fontId="2"/>
  </si>
  <si>
    <t>b34</t>
    <phoneticPr fontId="2"/>
  </si>
  <si>
    <t>area_settings.jsonの”id”</t>
    <phoneticPr fontId="3"/>
  </si>
  <si>
    <t>b13</t>
    <phoneticPr fontId="3"/>
  </si>
  <si>
    <t>b14</t>
    <phoneticPr fontId="2"/>
  </si>
  <si>
    <t>b16</t>
    <phoneticPr fontId="3"/>
  </si>
  <si>
    <t>b17</t>
    <phoneticPr fontId="2"/>
  </si>
  <si>
    <t>b18</t>
    <phoneticPr fontId="3"/>
  </si>
  <si>
    <t>b19</t>
    <phoneticPr fontId="2"/>
  </si>
  <si>
    <t>b20</t>
    <phoneticPr fontId="3"/>
  </si>
  <si>
    <t>b21</t>
    <phoneticPr fontId="2"/>
  </si>
  <si>
    <t>b22</t>
    <phoneticPr fontId="3"/>
  </si>
  <si>
    <t>b23</t>
    <phoneticPr fontId="2"/>
  </si>
  <si>
    <t>b24</t>
    <phoneticPr fontId="3"/>
  </si>
  <si>
    <t>b25</t>
    <phoneticPr fontId="2"/>
  </si>
  <si>
    <t>b26</t>
    <phoneticPr fontId="3"/>
  </si>
  <si>
    <t>b27</t>
    <phoneticPr fontId="2"/>
  </si>
  <si>
    <t>b28</t>
    <phoneticPr fontId="2"/>
  </si>
  <si>
    <t>b29</t>
    <phoneticPr fontId="2"/>
  </si>
  <si>
    <t>b30</t>
    <phoneticPr fontId="2"/>
  </si>
  <si>
    <t>b31</t>
    <phoneticPr fontId="2"/>
  </si>
  <si>
    <t>追加</t>
    <rPh sb="0" eb="2">
      <t>ツイカ</t>
    </rPh>
    <phoneticPr fontId="2"/>
  </si>
  <si>
    <t>E0ACF1AD7D48</t>
  </si>
  <si>
    <t>E0ACF1AD80C0</t>
  </si>
  <si>
    <t>E0ACF1AD86B8</t>
  </si>
  <si>
    <t>E0ACF1AD52A8</t>
  </si>
  <si>
    <t>00EBD55ED5F8</t>
  </si>
  <si>
    <t>E0ACF1AD5130</t>
  </si>
  <si>
    <t>00EBD55EBE58</t>
  </si>
  <si>
    <t>E0ACF1AD5A08</t>
  </si>
  <si>
    <t>E0ACF1AD9610</t>
  </si>
  <si>
    <t>E0ACF1AD9638</t>
  </si>
  <si>
    <t>E0ACF1AD7B78</t>
  </si>
  <si>
    <t>E0ACF1AD8AD8</t>
  </si>
  <si>
    <t>本坑呑口004</t>
    <rPh sb="0" eb="2">
      <t>ホンコウ</t>
    </rPh>
    <rPh sb="2" eb="4">
      <t>ノミクチ</t>
    </rPh>
    <phoneticPr fontId="3"/>
  </si>
  <si>
    <t>対象外</t>
    <rPh sb="0" eb="2">
      <t>タイショウ</t>
    </rPh>
    <rPh sb="2" eb="3">
      <t>ガイ</t>
    </rPh>
    <phoneticPr fontId="2"/>
  </si>
  <si>
    <t>a2</t>
    <phoneticPr fontId="2"/>
  </si>
  <si>
    <t>a0,a4</t>
    <phoneticPr fontId="2"/>
  </si>
  <si>
    <t>a7,a13</t>
    <phoneticPr fontId="2"/>
  </si>
  <si>
    <t>a5,a15</t>
    <phoneticPr fontId="2"/>
  </si>
  <si>
    <t>a13,a17</t>
    <phoneticPr fontId="2"/>
  </si>
  <si>
    <t>a15,a19</t>
    <phoneticPr fontId="2"/>
  </si>
  <si>
    <t>a17,a21</t>
    <phoneticPr fontId="2"/>
  </si>
  <si>
    <t>a19,a23</t>
    <phoneticPr fontId="2"/>
  </si>
  <si>
    <t>a21,a25</t>
    <phoneticPr fontId="2"/>
  </si>
  <si>
    <t>00EBD55EB2F8</t>
  </si>
  <si>
    <r>
      <t>a23</t>
    </r>
    <r>
      <rPr>
        <sz val="11"/>
        <color rgb="FFFF0000"/>
        <rFont val="MS UI Gothic"/>
        <family val="3"/>
        <charset val="128"/>
      </rPr>
      <t>,a27</t>
    </r>
    <phoneticPr fontId="2"/>
  </si>
  <si>
    <t>-</t>
    <phoneticPr fontId="2"/>
  </si>
  <si>
    <t>-</t>
    <phoneticPr fontId="2"/>
  </si>
  <si>
    <t>-</t>
    <phoneticPr fontId="2"/>
  </si>
  <si>
    <t>STATUS</t>
    <phoneticPr fontId="2"/>
  </si>
  <si>
    <t>STATUS</t>
    <phoneticPr fontId="2"/>
  </si>
  <si>
    <t>-</t>
    <phoneticPr fontId="2"/>
  </si>
  <si>
    <t>bluetooth_settings.json</t>
    <phoneticPr fontId="3"/>
  </si>
  <si>
    <t>wifi_settings.json</t>
    <phoneticPr fontId="3"/>
  </si>
  <si>
    <t>area_settings.json</t>
    <phoneticPr fontId="3"/>
  </si>
  <si>
    <t>type</t>
    <phoneticPr fontId="2"/>
  </si>
  <si>
    <t>kind</t>
    <phoneticPr fontId="2"/>
  </si>
  <si>
    <t>neighborIds</t>
    <phoneticPr fontId="2"/>
  </si>
  <si>
    <t>circle</t>
    <phoneticPr fontId="2"/>
  </si>
  <si>
    <t>work</t>
    <phoneticPr fontId="2"/>
  </si>
  <si>
    <t>main</t>
    <phoneticPr fontId="2"/>
  </si>
  <si>
    <t>mainLeft</t>
    <phoneticPr fontId="2"/>
  </si>
  <si>
    <t>-</t>
    <phoneticPr fontId="2"/>
  </si>
  <si>
    <t>mainRight</t>
    <phoneticPr fontId="2"/>
  </si>
  <si>
    <t>未</t>
    <rPh sb="0" eb="1">
      <t>ミ</t>
    </rPh>
    <phoneticPr fontId="2"/>
  </si>
  <si>
    <t>本坑吐口021</t>
    <phoneticPr fontId="2"/>
  </si>
  <si>
    <t>本坑吐口022</t>
    <phoneticPr fontId="2"/>
  </si>
  <si>
    <t>mainRight</t>
    <phoneticPr fontId="2"/>
  </si>
  <si>
    <t>本坑呑口001</t>
    <rPh sb="0" eb="2">
      <t>ホンコウ</t>
    </rPh>
    <rPh sb="2" eb="4">
      <t>ノミクチ</t>
    </rPh>
    <phoneticPr fontId="3"/>
  </si>
  <si>
    <t>本坑呑口005</t>
    <phoneticPr fontId="2"/>
  </si>
  <si>
    <t>k01</t>
    <phoneticPr fontId="2"/>
  </si>
  <si>
    <t>k02</t>
    <phoneticPr fontId="2"/>
  </si>
  <si>
    <t>本坑吐口020</t>
    <phoneticPr fontId="2"/>
  </si>
  <si>
    <t>切羽</t>
    <rPh sb="0" eb="2">
      <t>キリハ</t>
    </rPh>
    <phoneticPr fontId="2"/>
  </si>
  <si>
    <t>MACアドレス</t>
    <phoneticPr fontId="2"/>
  </si>
  <si>
    <t>変更
管理</t>
    <rPh sb="0" eb="2">
      <t>ヘンコウ</t>
    </rPh>
    <rPh sb="3" eb="5">
      <t>カンリ</t>
    </rPh>
    <phoneticPr fontId="2"/>
  </si>
  <si>
    <t>対象外</t>
    <rPh sb="0" eb="3">
      <t>タイショウガイ</t>
    </rPh>
    <phoneticPr fontId="2"/>
  </si>
  <si>
    <t>作業坑001
（進入検知）</t>
    <rPh sb="0" eb="2">
      <t>サギョウ</t>
    </rPh>
    <rPh sb="2" eb="3">
      <t>コウ</t>
    </rPh>
    <phoneticPr fontId="3"/>
  </si>
  <si>
    <t>吐口側切羽</t>
    <rPh sb="3" eb="5">
      <t>キリハ</t>
    </rPh>
    <phoneticPr fontId="2"/>
  </si>
  <si>
    <t>-</t>
    <phoneticPr fontId="2"/>
  </si>
  <si>
    <t>-</t>
    <phoneticPr fontId="2"/>
  </si>
  <si>
    <t>00EBD55EA428</t>
    <phoneticPr fontId="2"/>
  </si>
  <si>
    <t>a29,a33</t>
    <phoneticPr fontId="2"/>
  </si>
  <si>
    <t>minRssi
(切羽専用)</t>
    <rPh sb="9" eb="11">
      <t>キリハ</t>
    </rPh>
    <rPh sb="11" eb="13">
      <t>センヨウ</t>
    </rPh>
    <phoneticPr fontId="2"/>
  </si>
  <si>
    <t>9998-1</t>
    <phoneticPr fontId="2"/>
  </si>
  <si>
    <t>9998-2</t>
    <phoneticPr fontId="2"/>
  </si>
  <si>
    <t>E0ACF1AD6FA0</t>
    <phoneticPr fontId="2"/>
  </si>
  <si>
    <t>wifi_settings.json</t>
    <phoneticPr fontId="2"/>
  </si>
  <si>
    <t>a23のMACアドレスを「e0:ac:f1:ad:6f:a0」で置き換え</t>
    <phoneticPr fontId="2"/>
  </si>
  <si>
    <t>area_settings.json</t>
    <phoneticPr fontId="2"/>
  </si>
  <si>
    <t>id：33のX、Yをそれぞれ「133.3903591」「33.52452439 」へ変更</t>
    <phoneticPr fontId="2"/>
  </si>
  <si>
    <t>変更内容</t>
    <rPh sb="0" eb="2">
      <t>ヘンコウ</t>
    </rPh>
    <rPh sb="2" eb="4">
      <t>ナイヨウ</t>
    </rPh>
    <phoneticPr fontId="2"/>
  </si>
  <si>
    <t>変更ファイル</t>
    <rPh sb="0" eb="2">
      <t>ヘンコウ</t>
    </rPh>
    <phoneticPr fontId="2"/>
  </si>
  <si>
    <t>変更理由</t>
    <rPh sb="0" eb="2">
      <t>ヘンコウ</t>
    </rPh>
    <rPh sb="2" eb="4">
      <t>リユウ</t>
    </rPh>
    <phoneticPr fontId="2"/>
  </si>
  <si>
    <t>変更日</t>
    <rPh sb="0" eb="3">
      <t>ヘンコウビ</t>
    </rPh>
    <phoneticPr fontId="2"/>
  </si>
  <si>
    <t>変更者</t>
    <rPh sb="0" eb="2">
      <t>ヘンコウ</t>
    </rPh>
    <rPh sb="2" eb="3">
      <t>シャ</t>
    </rPh>
    <phoneticPr fontId="2"/>
  </si>
  <si>
    <t>高橋</t>
    <rPh sb="0" eb="2">
      <t>タカハシ</t>
    </rPh>
    <phoneticPr fontId="2"/>
  </si>
  <si>
    <t>bluetooth_settings.json</t>
    <phoneticPr fontId="2"/>
  </si>
  <si>
    <t>b32、b33を削除</t>
    <phoneticPr fontId="2"/>
  </si>
  <si>
    <t>a31、a33の追加</t>
    <rPh sb="8" eb="10">
      <t>ツイカ</t>
    </rPh>
    <phoneticPr fontId="2"/>
  </si>
  <si>
    <t>No.</t>
    <phoneticPr fontId="2"/>
  </si>
  <si>
    <t>大石</t>
    <rPh sb="0" eb="2">
      <t>オオイシ</t>
    </rPh>
    <phoneticPr fontId="2"/>
  </si>
  <si>
    <t>a33のX、Yをそれぞれ「133.3887622」「33.52599775」へ変更</t>
    <phoneticPr fontId="2"/>
  </si>
  <si>
    <t>同上</t>
    <rPh sb="0" eb="2">
      <t>ドウジョウ</t>
    </rPh>
    <phoneticPr fontId="2"/>
  </si>
  <si>
    <t>上記No.3で知らされた絶対座標がズレていた為</t>
    <rPh sb="0" eb="2">
      <t>ジョウキ</t>
    </rPh>
    <rPh sb="7" eb="8">
      <t>シ</t>
    </rPh>
    <rPh sb="12" eb="16">
      <t>ゼッタイザヒョウ</t>
    </rPh>
    <rPh sb="22" eb="23">
      <t>タメ</t>
    </rPh>
    <phoneticPr fontId="2"/>
  </si>
  <si>
    <t>MACアドレスの誤りが判明した為</t>
    <rPh sb="8" eb="9">
      <t>アヤマ</t>
    </rPh>
    <rPh sb="11" eb="13">
      <t>ハンメイ</t>
    </rPh>
    <rPh sb="15" eb="16">
      <t>タメ</t>
    </rPh>
    <phoneticPr fontId="2"/>
  </si>
  <si>
    <t>a33の追加を現場で知らされた為</t>
    <rPh sb="4" eb="6">
      <t>ツイカ</t>
    </rPh>
    <rPh sb="7" eb="9">
      <t>ゲンバ</t>
    </rPh>
    <rPh sb="10" eb="11">
      <t>シ</t>
    </rPh>
    <rPh sb="15" eb="16">
      <t>タメ</t>
    </rPh>
    <phoneticPr fontId="2"/>
  </si>
  <si>
    <t>切羽の位置に通常Beaconが設置されていた為</t>
    <rPh sb="0" eb="2">
      <t>キリハ</t>
    </rPh>
    <rPh sb="3" eb="5">
      <t>イチ</t>
    </rPh>
    <rPh sb="6" eb="8">
      <t>ツウジョウ</t>
    </rPh>
    <rPh sb="15" eb="17">
      <t>セッチ</t>
    </rPh>
    <rPh sb="22" eb="23">
      <t>タメ</t>
    </rPh>
    <phoneticPr fontId="2"/>
  </si>
  <si>
    <t>id：33のX、Yをそれぞれ「133.3887622」「33.52599775」へ変更
id：34のX、Yをそれぞれ「133.3890947」「33.52564324」へ変更</t>
    <phoneticPr fontId="2"/>
  </si>
  <si>
    <t>k01とK02のX、Yをそれぞれ「133.3890947」「33.52564324」へ変更</t>
    <phoneticPr fontId="2"/>
  </si>
  <si>
    <t>上記No.3で知らされた絶対座標がズレていた為</t>
    <phoneticPr fontId="2"/>
  </si>
  <si>
    <t>上記No.3で知らされた絶対座標がズレていた為</t>
    <phoneticPr fontId="2"/>
  </si>
  <si>
    <t>Wifi
No.</t>
    <phoneticPr fontId="2"/>
  </si>
  <si>
    <t>メモ
(MAC)</t>
    <phoneticPr fontId="2"/>
  </si>
  <si>
    <t>X</t>
    <phoneticPr fontId="2"/>
  </si>
  <si>
    <t>1000x</t>
    <phoneticPr fontId="2"/>
  </si>
  <si>
    <t>x</t>
    <phoneticPr fontId="2"/>
  </si>
  <si>
    <t>Y</t>
    <phoneticPr fontId="2"/>
  </si>
  <si>
    <t>y</t>
    <phoneticPr fontId="2"/>
  </si>
  <si>
    <t>Beacon
No</t>
    <phoneticPr fontId="2"/>
  </si>
  <si>
    <t>坑口から距離(m)
作業坑225換算</t>
    <phoneticPr fontId="2"/>
  </si>
  <si>
    <t>トンネル中心から左側に(m)</t>
    <phoneticPr fontId="2"/>
  </si>
  <si>
    <t>1000x</t>
    <phoneticPr fontId="2"/>
  </si>
  <si>
    <t>1000x</t>
    <phoneticPr fontId="2"/>
  </si>
  <si>
    <t>E0ACF1AD7D48</t>
    <phoneticPr fontId="2"/>
  </si>
  <si>
    <t>E0ACF1AD80C0</t>
    <phoneticPr fontId="2"/>
  </si>
  <si>
    <t>E0ACF1AD86B8</t>
    <phoneticPr fontId="2"/>
  </si>
  <si>
    <t>E0ACF1AD52A8</t>
    <phoneticPr fontId="2"/>
  </si>
  <si>
    <t>00EBD55ED5F8</t>
    <phoneticPr fontId="2"/>
  </si>
  <si>
    <t>00EBD55EBE58</t>
    <phoneticPr fontId="2"/>
  </si>
  <si>
    <t>E0ACF1AD5A08</t>
    <phoneticPr fontId="2"/>
  </si>
  <si>
    <t>E0ACF1AD9610</t>
    <phoneticPr fontId="2"/>
  </si>
  <si>
    <t>E0ACF1AD9638</t>
    <phoneticPr fontId="2"/>
  </si>
  <si>
    <t>E0ACF1AD7B78</t>
    <phoneticPr fontId="2"/>
  </si>
  <si>
    <t>E0ACF1AD8AD8</t>
    <phoneticPr fontId="2"/>
  </si>
  <si>
    <t>CF1A</t>
    <phoneticPr fontId="2"/>
  </si>
  <si>
    <t>00EBD55EC998</t>
    <phoneticPr fontId="2"/>
  </si>
  <si>
    <t>00EBD55EB2F8</t>
    <phoneticPr fontId="2"/>
  </si>
  <si>
    <t>00EBD55EE060</t>
    <phoneticPr fontId="2"/>
  </si>
  <si>
    <t>00EBD55EB300</t>
    <phoneticPr fontId="2"/>
  </si>
  <si>
    <t>E0ACF1AD5130</t>
    <phoneticPr fontId="2"/>
  </si>
  <si>
    <t>本坑呑口006</t>
    <phoneticPr fontId="3"/>
  </si>
  <si>
    <t>a5,a9</t>
    <phoneticPr fontId="2"/>
  </si>
  <si>
    <t>a25,a29</t>
    <phoneticPr fontId="2"/>
  </si>
  <si>
    <t>a27,a31</t>
    <phoneticPr fontId="2"/>
  </si>
  <si>
    <t>変更無</t>
    <rPh sb="0" eb="2">
      <t>ヘンコウ</t>
    </rPh>
    <rPh sb="2" eb="3">
      <t>ナ</t>
    </rPh>
    <phoneticPr fontId="2"/>
  </si>
  <si>
    <t>変更無</t>
    <rPh sb="0" eb="2">
      <t>ヘンコウ</t>
    </rPh>
    <rPh sb="2" eb="3">
      <t>ナシ</t>
    </rPh>
    <phoneticPr fontId="2"/>
  </si>
  <si>
    <t>b33</t>
    <phoneticPr fontId="3"/>
  </si>
  <si>
    <t>Wi-Fi</t>
  </si>
  <si>
    <t>Beacon</t>
  </si>
  <si>
    <t>下記を追加
id：10、X：133.3786548、Y：33.53324291
id：11、X：133.3782042、Y：33.53345487
id：32、X：133.3884272、Y：33.52637342
id：34、X：133.3890403、Y：33.52569918</t>
    <rPh sb="0" eb="2">
      <t>カキ</t>
    </rPh>
    <rPh sb="3" eb="5">
      <t>ツイカ</t>
    </rPh>
    <phoneticPr fontId="2"/>
  </si>
  <si>
    <t>3/16に藤原様より変更連絡</t>
    <rPh sb="5" eb="8">
      <t>フジワラサマ</t>
    </rPh>
    <rPh sb="10" eb="12">
      <t>ヘンコウ</t>
    </rPh>
    <rPh sb="12" eb="14">
      <t>レンラク</t>
    </rPh>
    <phoneticPr fontId="2"/>
  </si>
  <si>
    <t>3/16に藤原様より変更連絡</t>
    <phoneticPr fontId="2"/>
  </si>
  <si>
    <t>a9</t>
    <phoneticPr fontId="2"/>
  </si>
  <si>
    <t>bssid</t>
    <phoneticPr fontId="2"/>
  </si>
  <si>
    <t>maxRssi</t>
    <phoneticPr fontId="2"/>
  </si>
  <si>
    <t>minRssi</t>
    <phoneticPr fontId="2"/>
  </si>
  <si>
    <t>neighborIds</t>
    <phoneticPr fontId="2"/>
  </si>
  <si>
    <t>MAXアドレス「E0ACF1AD5130」が固定になったことに伴い、追加
id：a10、bssid：e0:ac:f1:ad:51:30、X：133.3782042、Y：33.53345487、maxRssi：0、minRssi：-75、neighborIds：a9</t>
    <rPh sb="31" eb="32">
      <t>トモナ</t>
    </rPh>
    <rPh sb="34" eb="36">
      <t>ツイカ</t>
    </rPh>
    <phoneticPr fontId="2"/>
  </si>
  <si>
    <t>下記を追加
id major minor x y maxRssi minRssi
b35 1 35 133.3884272 33.52637342 -10 -70
b36 1 36 133.3884272 33.52637342 -10 -70
b37 1 37 133.3890403 33.52569918 -10 -70
b38 1 38 133.3890403 33.52569918 -10 -70</t>
    <rPh sb="0" eb="2">
      <t>カキ</t>
    </rPh>
    <rPh sb="3" eb="5">
      <t>ツイカ</t>
    </rPh>
    <phoneticPr fontId="2"/>
  </si>
  <si>
    <t>本坑吐口023</t>
    <phoneticPr fontId="2"/>
  </si>
  <si>
    <t>本坑吐口024</t>
    <phoneticPr fontId="2"/>
  </si>
  <si>
    <t>本坑吐口025</t>
    <phoneticPr fontId="2"/>
  </si>
  <si>
    <t>本坑吐口026</t>
    <phoneticPr fontId="2"/>
  </si>
  <si>
    <t>本坑吐口027</t>
    <phoneticPr fontId="2"/>
  </si>
  <si>
    <t>本坑吐口028</t>
    <phoneticPr fontId="2"/>
  </si>
  <si>
    <t>本坑吐口029</t>
    <phoneticPr fontId="2"/>
  </si>
  <si>
    <t>本坑吐口030</t>
    <phoneticPr fontId="2"/>
  </si>
  <si>
    <t>本坑吐口031</t>
    <phoneticPr fontId="2"/>
  </si>
  <si>
    <t>本坑吐口032</t>
    <phoneticPr fontId="2"/>
  </si>
  <si>
    <t>本坑吐口033</t>
    <phoneticPr fontId="2"/>
  </si>
  <si>
    <t>本坑吐口034</t>
    <phoneticPr fontId="2"/>
  </si>
  <si>
    <t>本坑吐口035</t>
    <phoneticPr fontId="2"/>
  </si>
  <si>
    <t>本坑吐口036</t>
    <phoneticPr fontId="2"/>
  </si>
  <si>
    <t>本坑吐口037</t>
    <phoneticPr fontId="2"/>
  </si>
  <si>
    <t>本坑吐口038</t>
    <phoneticPr fontId="2"/>
  </si>
  <si>
    <t>本坑吐口039</t>
    <phoneticPr fontId="2"/>
  </si>
  <si>
    <t>本坑吐口040</t>
    <phoneticPr fontId="2"/>
  </si>
  <si>
    <t>a7,a11</t>
    <phoneticPr fontId="2"/>
  </si>
  <si>
    <t>右</t>
    <rPh sb="0" eb="1">
      <t>ミギ</t>
    </rPh>
    <phoneticPr fontId="2"/>
  </si>
  <si>
    <t>左</t>
    <rPh sb="0" eb="1">
      <t>ヒダリ</t>
    </rPh>
    <phoneticPr fontId="2"/>
  </si>
  <si>
    <t>E0ACF1AD5B98</t>
    <phoneticPr fontId="2"/>
  </si>
  <si>
    <t>E0ACF1AD6108</t>
    <phoneticPr fontId="2"/>
  </si>
  <si>
    <t>支保No</t>
    <rPh sb="0" eb="2">
      <t>シホ</t>
    </rPh>
    <phoneticPr fontId="2"/>
  </si>
  <si>
    <t>E0ACF1AD6108</t>
    <phoneticPr fontId="2"/>
  </si>
  <si>
    <t>E0ACF1AD5B98</t>
    <phoneticPr fontId="2"/>
  </si>
  <si>
    <t>大石</t>
    <rPh sb="0" eb="2">
      <t>オオイシ</t>
    </rPh>
    <phoneticPr fontId="2"/>
  </si>
  <si>
    <t>Wifi
No.</t>
    <phoneticPr fontId="2"/>
  </si>
  <si>
    <t>メモ
(MAC)</t>
    <phoneticPr fontId="2"/>
  </si>
  <si>
    <t>X</t>
    <phoneticPr fontId="2"/>
  </si>
  <si>
    <t>1000x</t>
    <phoneticPr fontId="2"/>
  </si>
  <si>
    <t>x</t>
    <phoneticPr fontId="2"/>
  </si>
  <si>
    <t>Y</t>
    <phoneticPr fontId="2"/>
  </si>
  <si>
    <t>1000y</t>
    <phoneticPr fontId="2"/>
  </si>
  <si>
    <t>y</t>
    <phoneticPr fontId="2"/>
  </si>
  <si>
    <t>Beacon
No</t>
    <phoneticPr fontId="2"/>
  </si>
  <si>
    <t>坑口から距離(m)
作業坑225換算</t>
    <phoneticPr fontId="2"/>
  </si>
  <si>
    <t>トンネル中心から左側に(m)</t>
    <phoneticPr fontId="2"/>
  </si>
  <si>
    <t>1000x</t>
    <phoneticPr fontId="2"/>
  </si>
  <si>
    <t>1000y</t>
    <phoneticPr fontId="2"/>
  </si>
  <si>
    <t>E0ACF1AD7D48</t>
    <phoneticPr fontId="2"/>
  </si>
  <si>
    <t>E0ACF1AD80C0</t>
    <phoneticPr fontId="2"/>
  </si>
  <si>
    <t>E0ACF1AD86B8</t>
    <phoneticPr fontId="2"/>
  </si>
  <si>
    <t>E0ACF1AD52A8</t>
    <phoneticPr fontId="2"/>
  </si>
  <si>
    <t>00EBD55ED5F8</t>
    <phoneticPr fontId="2"/>
  </si>
  <si>
    <t>00EBD55EBE58</t>
    <phoneticPr fontId="2"/>
  </si>
  <si>
    <t>E0ACF1AD5130</t>
    <phoneticPr fontId="2"/>
  </si>
  <si>
    <t>E0ACF1AD5A08</t>
    <phoneticPr fontId="2"/>
  </si>
  <si>
    <t>E0ACF1AD9610</t>
    <phoneticPr fontId="2"/>
  </si>
  <si>
    <t>E0ACF1AD9638</t>
    <phoneticPr fontId="2"/>
  </si>
  <si>
    <t>E0ACF1AD7B78</t>
    <phoneticPr fontId="2"/>
  </si>
  <si>
    <t>E0ACF1AD8AD8</t>
    <phoneticPr fontId="2"/>
  </si>
  <si>
    <t>CF1A</t>
    <phoneticPr fontId="2"/>
  </si>
  <si>
    <t>00EBD55EC998</t>
    <phoneticPr fontId="2"/>
  </si>
  <si>
    <t>00EBD55EB2F8</t>
    <phoneticPr fontId="2"/>
  </si>
  <si>
    <t>00EBD55EE060</t>
    <phoneticPr fontId="2"/>
  </si>
  <si>
    <t>00EBD55EB300</t>
    <phoneticPr fontId="2"/>
  </si>
  <si>
    <t>83F9</t>
    <phoneticPr fontId="2"/>
  </si>
  <si>
    <t>a35</t>
    <phoneticPr fontId="2"/>
  </si>
  <si>
    <t>a31,a35</t>
    <phoneticPr fontId="2"/>
  </si>
  <si>
    <t>a33,a37</t>
    <phoneticPr fontId="2"/>
  </si>
  <si>
    <t>https://vldb.gsi.go.jp/sokuchi/surveycalc/surveycalc/xy2blf.html</t>
    <phoneticPr fontId="2"/>
  </si>
  <si>
    <t>１．</t>
    <phoneticPr fontId="2"/>
  </si>
  <si>
    <t>下記のようなファイルを用意する。拡張子は「.in」とすること。現場から送られてくる絶対座標(x、y)を貼り付ける。</t>
  </si>
  <si>
    <t>２．</t>
    <phoneticPr fontId="2"/>
  </si>
  <si>
    <t>下記のサイトへアクセスする。</t>
    <phoneticPr fontId="2"/>
  </si>
  <si>
    <t>①入力値で「一括計算」タブをクリックし、下記の通り選択する。</t>
    <rPh sb="1" eb="4">
      <t>ニュウリョクチ</t>
    </rPh>
    <rPh sb="6" eb="8">
      <t>イッカツ</t>
    </rPh>
    <rPh sb="8" eb="10">
      <t>ケイサン</t>
    </rPh>
    <rPh sb="20" eb="22">
      <t>カキ</t>
    </rPh>
    <rPh sb="23" eb="24">
      <t>トオ</t>
    </rPh>
    <rPh sb="25" eb="27">
      <t>センタク</t>
    </rPh>
    <phoneticPr fontId="2"/>
  </si>
  <si>
    <t>　・測地系：</t>
    <phoneticPr fontId="2"/>
  </si>
  <si>
    <t>「世界測地系」</t>
  </si>
  <si>
    <t>　・平面直角座標：</t>
    <phoneticPr fontId="2"/>
  </si>
  <si>
    <t>「4系  330000.  1333000.」</t>
    <phoneticPr fontId="2"/>
  </si>
  <si>
    <t>　・入力ファイルの選択</t>
    <rPh sb="2" eb="4">
      <t>ニュウリョク</t>
    </rPh>
    <rPh sb="9" eb="11">
      <t>センタク</t>
    </rPh>
    <phoneticPr fontId="2"/>
  </si>
  <si>
    <t>１で作成した拡張子「.in」のファイルのパス</t>
    <rPh sb="2" eb="4">
      <t>サクセイ</t>
    </rPh>
    <rPh sb="6" eb="9">
      <t>カクチョウシ</t>
    </rPh>
    <phoneticPr fontId="2"/>
  </si>
  <si>
    <t>②「計算実行」ボタンをクリック。</t>
    <phoneticPr fontId="2"/>
  </si>
  <si>
    <t>xy2bl.in</t>
    <phoneticPr fontId="2"/>
  </si>
  <si>
    <t>⇒xy2bl.outがダウンロードされる</t>
    <phoneticPr fontId="2"/>
  </si>
  <si>
    <t>xy2bl.outをテキストエディタで開き、3項目目(緯度(dms))と4項目目(経度(dms))を矩形選択して、取り出す。</t>
    <phoneticPr fontId="2"/>
  </si>
  <si>
    <t>３．</t>
    <phoneticPr fontId="2"/>
  </si>
  <si>
    <t>◆絶対座標を世界測地系・平面直角座標：4系の緯度経度へする手順</t>
    <rPh sb="1" eb="3">
      <t>ゼッタイ</t>
    </rPh>
    <rPh sb="3" eb="5">
      <t>ザヒョウ</t>
    </rPh>
    <rPh sb="6" eb="8">
      <t>セカイ</t>
    </rPh>
    <rPh sb="8" eb="10">
      <t>ソクチ</t>
    </rPh>
    <rPh sb="10" eb="11">
      <t>ケイ</t>
    </rPh>
    <rPh sb="12" eb="14">
      <t>ヘイメン</t>
    </rPh>
    <rPh sb="14" eb="16">
      <t>チョッカク</t>
    </rPh>
    <rPh sb="16" eb="18">
      <t>ザヒョウ</t>
    </rPh>
    <rPh sb="20" eb="21">
      <t>ケイ</t>
    </rPh>
    <rPh sb="22" eb="24">
      <t>イド</t>
    </rPh>
    <rPh sb="24" eb="26">
      <t>ケイド</t>
    </rPh>
    <rPh sb="29" eb="31">
      <t>テジュン</t>
    </rPh>
    <phoneticPr fontId="2"/>
  </si>
  <si>
    <t>変換サイトのURL</t>
    <rPh sb="0" eb="2">
      <t>ヘンカン</t>
    </rPh>
    <phoneticPr fontId="2"/>
  </si>
  <si>
    <t>以上</t>
    <rPh sb="0" eb="2">
      <t>イジョウ</t>
    </rPh>
    <phoneticPr fontId="2"/>
  </si>
  <si>
    <t>TD</t>
    <phoneticPr fontId="2"/>
  </si>
  <si>
    <t>b42</t>
    <phoneticPr fontId="2"/>
  </si>
  <si>
    <t>b43</t>
    <phoneticPr fontId="2"/>
  </si>
  <si>
    <t>b44</t>
    <phoneticPr fontId="2"/>
  </si>
  <si>
    <t>このままだと、緯度と経度の間が半角スペースなので、Excelへそのまま貼り付けられない。</t>
    <rPh sb="7" eb="9">
      <t>イド</t>
    </rPh>
    <rPh sb="10" eb="12">
      <t>ケイド</t>
    </rPh>
    <rPh sb="13" eb="14">
      <t>アイダ</t>
    </rPh>
    <rPh sb="15" eb="17">
      <t>ハンカク</t>
    </rPh>
    <rPh sb="35" eb="36">
      <t>ハ</t>
    </rPh>
    <rPh sb="37" eb="38">
      <t>ツ</t>
    </rPh>
    <phoneticPr fontId="2"/>
  </si>
  <si>
    <t>一旦テキストエディタに貼り付けて、半角スペースをタブ文字「\t」へ変換後に貼り付ける。</t>
    <rPh sb="0" eb="2">
      <t>イッタン</t>
    </rPh>
    <rPh sb="11" eb="12">
      <t>ハ</t>
    </rPh>
    <rPh sb="13" eb="14">
      <t>ツ</t>
    </rPh>
    <rPh sb="17" eb="19">
      <t>ハンカク</t>
    </rPh>
    <rPh sb="26" eb="28">
      <t>モジ</t>
    </rPh>
    <rPh sb="33" eb="35">
      <t>ヘンカン</t>
    </rPh>
    <rPh sb="35" eb="36">
      <t>ゴ</t>
    </rPh>
    <rPh sb="37" eb="38">
      <t>ハ</t>
    </rPh>
    <rPh sb="39" eb="40">
      <t>ツ</t>
    </rPh>
    <phoneticPr fontId="2"/>
  </si>
  <si>
    <t>radius</t>
    <phoneticPr fontId="2"/>
  </si>
  <si>
    <t>不具合対応</t>
    <rPh sb="0" eb="5">
      <t>フグアイタイオウ</t>
    </rPh>
    <phoneticPr fontId="2"/>
  </si>
  <si>
    <t>事務所のWi-Fiを追加</t>
    <rPh sb="0" eb="2">
      <t>ジム</t>
    </rPh>
    <rPh sb="2" eb="3">
      <t>ショ</t>
    </rPh>
    <rPh sb="10" eb="12">
      <t>ツイカ</t>
    </rPh>
    <phoneticPr fontId="2"/>
  </si>
  <si>
    <t>事務所</t>
    <rPh sb="0" eb="2">
      <t>ジム</t>
    </rPh>
    <rPh sb="2" eb="3">
      <t>ショ</t>
    </rPh>
    <phoneticPr fontId="2"/>
  </si>
  <si>
    <t>-</t>
    <phoneticPr fontId="2"/>
  </si>
  <si>
    <t>a-office</t>
    <phoneticPr fontId="2"/>
  </si>
  <si>
    <t>E0ACF1AD6E38</t>
    <phoneticPr fontId="2"/>
  </si>
  <si>
    <t>本坑吐口041</t>
  </si>
  <si>
    <t>本坑吐口042</t>
  </si>
  <si>
    <t>本坑吐口044</t>
  </si>
  <si>
    <t>本坑吐口045</t>
  </si>
  <si>
    <t>本坑吐口046</t>
  </si>
  <si>
    <t>本坑吐口047</t>
  </si>
  <si>
    <t>本坑吐口048</t>
  </si>
  <si>
    <t>本坑吐口049</t>
  </si>
  <si>
    <t>本坑吐口043</t>
    <phoneticPr fontId="2"/>
  </si>
  <si>
    <t>本坑吐口050</t>
    <phoneticPr fontId="2"/>
  </si>
  <si>
    <t>b41</t>
    <phoneticPr fontId="2"/>
  </si>
  <si>
    <t>id：b41,b42,b43,b44を追加</t>
    <rPh sb="19" eb="21">
      <t>ツイカ</t>
    </rPh>
    <phoneticPr fontId="2"/>
  </si>
  <si>
    <t>id：a35,a37を追加</t>
    <rPh sb="11" eb="13">
      <t>ツイカ</t>
    </rPh>
    <phoneticPr fontId="2"/>
  </si>
  <si>
    <t>3/16に藤原様より変更連絡</t>
    <phoneticPr fontId="2"/>
  </si>
  <si>
    <t>5/13に藤原様より変更連絡</t>
    <phoneticPr fontId="2"/>
  </si>
  <si>
    <t>navi.jsonには定義されているので、残さないとダメらしい</t>
    <rPh sb="11" eb="13">
      <t>テイギ</t>
    </rPh>
    <rPh sb="21" eb="22">
      <t>ノコ</t>
    </rPh>
    <phoneticPr fontId="2"/>
  </si>
  <si>
    <t>大石</t>
    <rPh sb="0" eb="2">
      <t>オオイシ</t>
    </rPh>
    <phoneticPr fontId="2"/>
  </si>
  <si>
    <t>不具合対応 navi.jsonにはあるので、消したらダメだった。</t>
    <rPh sb="0" eb="5">
      <t>フグアイタイオウ</t>
    </rPh>
    <rPh sb="22" eb="23">
      <t>ケ</t>
    </rPh>
    <phoneticPr fontId="2"/>
  </si>
  <si>
    <t>y</t>
    <phoneticPr fontId="2"/>
  </si>
  <si>
    <t>：待避所・回転場</t>
    <rPh sb="1" eb="4">
      <t>タイヒジョ</t>
    </rPh>
    <rPh sb="5" eb="7">
      <t>カイテン</t>
    </rPh>
    <rPh sb="7" eb="8">
      <t>バ</t>
    </rPh>
    <phoneticPr fontId="2"/>
  </si>
  <si>
    <t>x</t>
    <phoneticPr fontId="2"/>
  </si>
  <si>
    <t>取得方法：ローカル</t>
    <rPh sb="0" eb="2">
      <t>シュトク</t>
    </rPh>
    <rPh sb="2" eb="4">
      <t>ホウホウ</t>
    </rPh>
    <phoneticPr fontId="2"/>
  </si>
  <si>
    <t>本坑呑口007</t>
    <phoneticPr fontId="2"/>
  </si>
  <si>
    <t>id：12を復元、id：11のneighborIdsに12を追加</t>
    <rPh sb="6" eb="8">
      <t>フクゲン</t>
    </rPh>
    <rPh sb="30" eb="32">
      <t>ツイカ</t>
    </rPh>
    <phoneticPr fontId="2"/>
  </si>
  <si>
    <t>id：63を削除</t>
    <rPh sb="6" eb="8">
      <t>サクジョ</t>
    </rPh>
    <phoneticPr fontId="2"/>
  </si>
  <si>
    <t>navi.jsonには62までしかないので、削除してみる。</t>
    <rPh sb="22" eb="24">
      <t>サクジョ</t>
    </rPh>
    <phoneticPr fontId="2"/>
  </si>
  <si>
    <t>取得方法：サーバ</t>
    <rPh sb="0" eb="2">
      <t>シュトク</t>
    </rPh>
    <rPh sb="2" eb="4">
      <t>ホウホウ</t>
    </rPh>
    <phoneticPr fontId="2"/>
  </si>
  <si>
    <t>：変更箇所</t>
    <rPh sb="1" eb="3">
      <t>ヘンコウ</t>
    </rPh>
    <rPh sb="3" eb="5">
      <t>カショ</t>
    </rPh>
    <phoneticPr fontId="2"/>
  </si>
  <si>
    <t>◆navi.json</t>
    <phoneticPr fontId="2"/>
  </si>
  <si>
    <t>◆area_settings.json</t>
    <phoneticPr fontId="2"/>
  </si>
  <si>
    <t>・変更作業日：3/16</t>
    <rPh sb="1" eb="3">
      <t>ヘンコウ</t>
    </rPh>
    <rPh sb="3" eb="5">
      <t>サギョウ</t>
    </rPh>
    <rPh sb="5" eb="6">
      <t>ビ</t>
    </rPh>
    <phoneticPr fontId="2"/>
  </si>
  <si>
    <t>・変更作業日：5/12</t>
    <rPh sb="1" eb="3">
      <t>ヘンコウ</t>
    </rPh>
    <rPh sb="3" eb="5">
      <t>サギョウ</t>
    </rPh>
    <rPh sb="5" eb="6">
      <t>ビ</t>
    </rPh>
    <phoneticPr fontId="2"/>
  </si>
  <si>
    <t>・変更作業日：5/15</t>
    <rPh sb="1" eb="3">
      <t>ヘンコウ</t>
    </rPh>
    <rPh sb="3" eb="5">
      <t>サギョウ</t>
    </rPh>
    <rPh sb="5" eb="6">
      <t>ビ</t>
    </rPh>
    <phoneticPr fontId="2"/>
  </si>
  <si>
    <t>・変更作業日：5/19</t>
    <rPh sb="1" eb="3">
      <t>ヘンコウ</t>
    </rPh>
    <rPh sb="3" eb="5">
      <t>サギョウ</t>
    </rPh>
    <rPh sb="5" eb="6">
      <t>ビ</t>
    </rPh>
    <phoneticPr fontId="2"/>
  </si>
  <si>
    <t>計64個</t>
    <rPh sb="0" eb="1">
      <t>ケイ</t>
    </rPh>
    <rPh sb="3" eb="4">
      <t>コ</t>
    </rPh>
    <phoneticPr fontId="2"/>
  </si>
  <si>
    <t>計63個</t>
    <rPh sb="0" eb="1">
      <t>ケイ</t>
    </rPh>
    <rPh sb="3" eb="4">
      <t>コ</t>
    </rPh>
    <phoneticPr fontId="2"/>
  </si>
  <si>
    <t>計54個</t>
    <rPh sb="0" eb="1">
      <t>ケイ</t>
    </rPh>
    <rPh sb="3" eb="4">
      <t>コ</t>
    </rPh>
    <phoneticPr fontId="2"/>
  </si>
  <si>
    <t>5:交差部</t>
    <rPh sb="2" eb="4">
      <t>コウサ</t>
    </rPh>
    <rPh sb="4" eb="5">
      <t>ブ</t>
    </rPh>
    <phoneticPr fontId="2"/>
  </si>
  <si>
    <t>4:作業坑005</t>
  </si>
  <si>
    <t>3:作業坑004</t>
  </si>
  <si>
    <t>2:作業坑003</t>
  </si>
  <si>
    <t>1:作業坑002</t>
  </si>
  <si>
    <t>0:作業坑001</t>
  </si>
  <si>
    <t>b11</t>
    <phoneticPr fontId="2"/>
  </si>
  <si>
    <t>13:本坑
吐口001</t>
    <phoneticPr fontId="2"/>
  </si>
  <si>
    <t>a19</t>
    <phoneticPr fontId="2"/>
  </si>
  <si>
    <t>b39</t>
    <phoneticPr fontId="2"/>
  </si>
  <si>
    <t>b40</t>
    <phoneticPr fontId="2"/>
  </si>
  <si>
    <t>a33</t>
    <phoneticPr fontId="2"/>
  </si>
  <si>
    <t>a34</t>
    <phoneticPr fontId="2"/>
  </si>
  <si>
    <t>b12</t>
    <phoneticPr fontId="2"/>
  </si>
  <si>
    <t>6:本坑
呑口001</t>
    <phoneticPr fontId="2"/>
  </si>
  <si>
    <t>10:本坑
呑口005</t>
    <phoneticPr fontId="2"/>
  </si>
  <si>
    <t>8:本坑
呑口003</t>
    <phoneticPr fontId="2"/>
  </si>
  <si>
    <t>7:本坑
呑口002</t>
    <phoneticPr fontId="2"/>
  </si>
  <si>
    <t>9:本坑
呑口004</t>
    <phoneticPr fontId="2"/>
  </si>
  <si>
    <t>11:本坑
呑口006</t>
    <phoneticPr fontId="2"/>
  </si>
  <si>
    <t>12:本坑
呑口007</t>
    <phoneticPr fontId="2"/>
  </si>
  <si>
    <t>b7</t>
    <phoneticPr fontId="2"/>
  </si>
  <si>
    <t>b9</t>
    <phoneticPr fontId="2"/>
  </si>
  <si>
    <t>b10</t>
    <phoneticPr fontId="2"/>
  </si>
  <si>
    <t>15:本坑
吐口003</t>
    <phoneticPr fontId="2"/>
  </si>
  <si>
    <t>b3</t>
    <phoneticPr fontId="2"/>
  </si>
  <si>
    <t>b1</t>
    <phoneticPr fontId="2"/>
  </si>
  <si>
    <t>b4</t>
    <phoneticPr fontId="2"/>
  </si>
  <si>
    <t>b2</t>
    <phoneticPr fontId="2"/>
  </si>
  <si>
    <t>a4</t>
    <phoneticPr fontId="2"/>
  </si>
  <si>
    <t>a2</t>
    <phoneticPr fontId="2"/>
  </si>
  <si>
    <t>a0</t>
    <phoneticPr fontId="2"/>
  </si>
  <si>
    <t>18:本坑
吐口006</t>
    <phoneticPr fontId="2"/>
  </si>
  <si>
    <t>19:本坑
吐口007</t>
    <phoneticPr fontId="2"/>
  </si>
  <si>
    <t>21:本坑
吐口009</t>
    <phoneticPr fontId="2"/>
  </si>
  <si>
    <t>b13</t>
    <phoneticPr fontId="2"/>
  </si>
  <si>
    <t>b14</t>
    <phoneticPr fontId="2"/>
  </si>
  <si>
    <t>b8</t>
    <phoneticPr fontId="2"/>
  </si>
  <si>
    <t>a11</t>
    <phoneticPr fontId="2"/>
  </si>
  <si>
    <t>a15</t>
    <phoneticPr fontId="2"/>
  </si>
  <si>
    <t>a17</t>
    <phoneticPr fontId="2"/>
  </si>
  <si>
    <t>a37</t>
    <phoneticPr fontId="2"/>
  </si>
  <si>
    <t>37:本坑
吐口025</t>
    <phoneticPr fontId="2"/>
  </si>
  <si>
    <t>36:本坑
吐口024</t>
    <phoneticPr fontId="2"/>
  </si>
  <si>
    <t>35:本坑
吐口023</t>
    <phoneticPr fontId="2"/>
  </si>
  <si>
    <t>34:本坑
吐口022</t>
    <phoneticPr fontId="2"/>
  </si>
  <si>
    <t>33:本坑
吐口021</t>
    <phoneticPr fontId="2"/>
  </si>
  <si>
    <t>32:本坑
吐口020</t>
    <phoneticPr fontId="2"/>
  </si>
  <si>
    <t>31:本坑
吐口019</t>
    <phoneticPr fontId="2"/>
  </si>
  <si>
    <t>30:本坑
吐口018</t>
    <phoneticPr fontId="2"/>
  </si>
  <si>
    <t>29:本坑
吐口017</t>
    <phoneticPr fontId="2"/>
  </si>
  <si>
    <t>a35</t>
    <phoneticPr fontId="2"/>
  </si>
  <si>
    <t>a29</t>
    <phoneticPr fontId="2"/>
  </si>
  <si>
    <t>28:本坑
吐口016</t>
    <phoneticPr fontId="2"/>
  </si>
  <si>
    <t>27:本坑
吐口015</t>
    <phoneticPr fontId="2"/>
  </si>
  <si>
    <t>26:本坑
吐口014</t>
    <phoneticPr fontId="2"/>
  </si>
  <si>
    <t>a25</t>
    <phoneticPr fontId="2"/>
  </si>
  <si>
    <t>14:本坑
吐口002</t>
    <phoneticPr fontId="2"/>
  </si>
  <si>
    <t>16:本坑
吐口004</t>
    <phoneticPr fontId="2"/>
  </si>
  <si>
    <t>17:本坑
吐口005</t>
    <phoneticPr fontId="2"/>
  </si>
  <si>
    <t>20:本坑
吐口008</t>
    <phoneticPr fontId="2"/>
  </si>
  <si>
    <t>22:本坑
吐口010</t>
    <phoneticPr fontId="2"/>
  </si>
  <si>
    <t>23:本坑
吐口011</t>
    <phoneticPr fontId="2"/>
  </si>
  <si>
    <t>24:本坑
吐口012</t>
    <phoneticPr fontId="2"/>
  </si>
  <si>
    <t>25:本坑
吐口013</t>
    <phoneticPr fontId="2"/>
  </si>
  <si>
    <t>38:本坑
吐口026</t>
    <phoneticPr fontId="2"/>
  </si>
  <si>
    <t>a31</t>
    <phoneticPr fontId="2"/>
  </si>
  <si>
    <t>a13</t>
    <phoneticPr fontId="2"/>
  </si>
  <si>
    <t>a21</t>
    <phoneticPr fontId="2"/>
  </si>
  <si>
    <t>a23</t>
    <phoneticPr fontId="2"/>
  </si>
  <si>
    <t>a27</t>
    <phoneticPr fontId="2"/>
  </si>
  <si>
    <t>b15</t>
    <phoneticPr fontId="2"/>
  </si>
  <si>
    <t>b16</t>
    <phoneticPr fontId="2"/>
  </si>
  <si>
    <t>b17</t>
    <phoneticPr fontId="2"/>
  </si>
  <si>
    <t>b18</t>
    <phoneticPr fontId="2"/>
  </si>
  <si>
    <t>b19</t>
    <phoneticPr fontId="2"/>
  </si>
  <si>
    <t>b20</t>
    <phoneticPr fontId="2"/>
  </si>
  <si>
    <t>b21</t>
    <phoneticPr fontId="2"/>
  </si>
  <si>
    <t>b22</t>
    <phoneticPr fontId="2"/>
  </si>
  <si>
    <t>b23</t>
    <phoneticPr fontId="2"/>
  </si>
  <si>
    <t>b24</t>
    <phoneticPr fontId="2"/>
  </si>
  <si>
    <t>b25</t>
    <phoneticPr fontId="2"/>
  </si>
  <si>
    <t>b26</t>
    <phoneticPr fontId="2"/>
  </si>
  <si>
    <t>b27</t>
    <phoneticPr fontId="2"/>
  </si>
  <si>
    <t>b28</t>
    <phoneticPr fontId="2"/>
  </si>
  <si>
    <t>b29</t>
    <phoneticPr fontId="2"/>
  </si>
  <si>
    <t>b30</t>
    <phoneticPr fontId="2"/>
  </si>
  <si>
    <t>b35</t>
    <phoneticPr fontId="2"/>
  </si>
  <si>
    <t>b36</t>
    <phoneticPr fontId="2"/>
  </si>
  <si>
    <t>b37</t>
    <phoneticPr fontId="2"/>
  </si>
  <si>
    <t>b38</t>
    <phoneticPr fontId="2"/>
  </si>
  <si>
    <t>b42</t>
    <phoneticPr fontId="2"/>
  </si>
  <si>
    <t>9998:切羽</t>
    <rPh sb="5" eb="7">
      <t>キリハ</t>
    </rPh>
    <phoneticPr fontId="2"/>
  </si>
  <si>
    <t>a5</t>
    <phoneticPr fontId="2"/>
  </si>
  <si>
    <t>a7</t>
    <phoneticPr fontId="2"/>
  </si>
  <si>
    <t>id：53～62を削除</t>
    <rPh sb="9" eb="11">
      <t>サクジョ</t>
    </rPh>
    <phoneticPr fontId="2"/>
  </si>
  <si>
    <t>navi.jsonには63個までしかないので、最初の54個に戻した。</t>
    <rPh sb="13" eb="14">
      <t>コ</t>
    </rPh>
    <rPh sb="23" eb="25">
      <t>サイショ</t>
    </rPh>
    <rPh sb="28" eb="29">
      <t>コ</t>
    </rPh>
    <rPh sb="30" eb="31">
      <t>モド</t>
    </rPh>
    <phoneticPr fontId="2"/>
  </si>
  <si>
    <t>EOF</t>
    <phoneticPr fontId="2"/>
  </si>
  <si>
    <t>計</t>
    <rPh sb="0" eb="1">
      <t>ケイ</t>
    </rPh>
    <phoneticPr fontId="2"/>
  </si>
  <si>
    <t>個</t>
    <rPh sb="0" eb="1">
      <t>コ</t>
    </rPh>
    <phoneticPr fontId="2"/>
  </si>
  <si>
    <t>個数は関係なく、navi.jsonとのidの紐づけだったので、id：9998を削除</t>
    <rPh sb="0" eb="2">
      <t>コスウ</t>
    </rPh>
    <rPh sb="3" eb="5">
      <t>カンケイ</t>
    </rPh>
    <rPh sb="22" eb="23">
      <t>ヒモ</t>
    </rPh>
    <rPh sb="39" eb="41">
      <t>サクジョ</t>
    </rPh>
    <phoneticPr fontId="2"/>
  </si>
  <si>
    <t>-</t>
    <phoneticPr fontId="2"/>
  </si>
  <si>
    <t>EOF</t>
    <phoneticPr fontId="2"/>
  </si>
  <si>
    <t>←切羽※zones.app_idをnull更新したので、先に進んだ時は「39」で更新すること！</t>
    <rPh sb="1" eb="3">
      <t>キリハ</t>
    </rPh>
    <rPh sb="21" eb="23">
      <t>コウシン</t>
    </rPh>
    <rPh sb="28" eb="29">
      <t>サキ</t>
    </rPh>
    <rPh sb="30" eb="31">
      <t>スス</t>
    </rPh>
    <rPh sb="33" eb="34">
      <t>トキ</t>
    </rPh>
    <rPh sb="40" eb="42">
      <t>コウシン</t>
    </rPh>
    <phoneticPr fontId="2"/>
  </si>
  <si>
    <t>id：53～62を復活、切羽の定義はid：9998を削除し、値はid：39を更新
※zones.app_idをnull更新したので、先に進んだ時は「39」で更新すること！</t>
    <rPh sb="9" eb="11">
      <t>フッカツ</t>
    </rPh>
    <rPh sb="12" eb="14">
      <t>キリハ</t>
    </rPh>
    <rPh sb="15" eb="17">
      <t>テイギ</t>
    </rPh>
    <rPh sb="30" eb="31">
      <t>アタイ</t>
    </rPh>
    <rPh sb="38" eb="40">
      <t>コウシン</t>
    </rPh>
    <phoneticPr fontId="2"/>
  </si>
  <si>
    <t>追加
(切羽)</t>
    <rPh sb="0" eb="2">
      <t>ツイカ</t>
    </rPh>
    <rPh sb="4" eb="6">
      <t>キリハ</t>
    </rPh>
    <phoneticPr fontId="2"/>
  </si>
  <si>
    <t>id：32～34のradiusの設定値を「0」から「15」へ変更</t>
    <rPh sb="16" eb="18">
      <t>セッテイ</t>
    </rPh>
    <rPh sb="18" eb="19">
      <t>チ</t>
    </rPh>
    <rPh sb="30" eb="32">
      <t>ヘンコウ</t>
    </rPh>
    <phoneticPr fontId="2"/>
  </si>
  <si>
    <t>id：35～38を追加、id：12を削除
id:9998のx, yの値が逆転していたので、正しく修正</t>
    <rPh sb="9" eb="11">
      <t>ツイカ</t>
    </rPh>
    <rPh sb="18" eb="20">
      <t>サクジョ</t>
    </rPh>
    <phoneticPr fontId="2"/>
  </si>
  <si>
    <t>area_settings.json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</si>
</sst>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0"/>
    <numFmt numFmtId="177" formatCode="0.0"/>
    <numFmt numFmtId="178" formatCode="0.00000_);[Red]\(0.00000\)"/>
    <numFmt numFmtId="179" formatCode="0.0000000000_ "/>
    <numFmt numFmtId="180" formatCode="0.00000_ "/>
    <numFmt numFmtId="181" formatCode="0.0000000000"/>
    <numFmt numFmtId="182" formatCode="0.0_ "/>
    <numFmt numFmtId="183" formatCode="0.00000000_ "/>
    <numFmt numFmtId="185" formatCode="m/d;@"/>
  </numFmts>
  <fonts count="29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MS UI Gothic"/>
      <family val="3"/>
      <charset val="128"/>
    </font>
    <font>
      <b/>
      <sz val="11"/>
      <color theme="1"/>
      <name val="MS UI Gothic"/>
      <family val="3"/>
      <charset val="128"/>
    </font>
    <font>
      <sz val="11"/>
      <color rgb="FF000000"/>
      <name val="MS UI Gothic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1"/>
      <name val="游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  <font>
      <sz val="11"/>
      <color theme="0"/>
      <name val="MS UI Gothic"/>
      <family val="3"/>
      <charset val="128"/>
    </font>
    <font>
      <b/>
      <sz val="11"/>
      <name val="MS UI Gothic"/>
      <family val="3"/>
      <charset val="128"/>
    </font>
    <font>
      <sz val="11"/>
      <name val="MS UI Gothic"/>
      <family val="3"/>
      <charset val="128"/>
    </font>
    <font>
      <b/>
      <sz val="11"/>
      <color theme="0"/>
      <name val="MS UI Gothic"/>
      <family val="3"/>
      <charset val="128"/>
    </font>
    <font>
      <sz val="11"/>
      <color rgb="FFFF0000"/>
      <name val="MS UI Gothic"/>
      <family val="3"/>
      <charset val="128"/>
    </font>
    <font>
      <sz val="10"/>
      <color theme="0"/>
      <name val="MS UI Gothic"/>
      <family val="3"/>
      <charset val="128"/>
    </font>
    <font>
      <sz val="9"/>
      <color theme="0"/>
      <name val="MS UI Gothic"/>
      <family val="3"/>
      <charset val="128"/>
    </font>
    <font>
      <sz val="11"/>
      <color rgb="FF000000"/>
      <name val="游ゴシック"/>
      <family val="3"/>
      <charset val="128"/>
    </font>
    <font>
      <b/>
      <sz val="9"/>
      <color theme="0"/>
      <name val="MS UI Gothic"/>
      <family val="3"/>
      <charset val="128"/>
    </font>
    <font>
      <sz val="11"/>
      <color theme="0"/>
      <name val="MS UI Gothic"/>
      <family val="2"/>
      <charset val="128"/>
    </font>
    <font>
      <b/>
      <sz val="10"/>
      <color theme="0"/>
      <name val="MS UI Gothic"/>
      <family val="3"/>
      <charset val="128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rgb="FF222222"/>
      <name val="メイリオ"/>
      <family val="3"/>
      <charset val="128"/>
    </font>
    <font>
      <b/>
      <u/>
      <sz val="14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color theme="1"/>
      <name val="MS UI Gothic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2EA3"/>
        <bgColor indexed="64"/>
      </patternFill>
    </fill>
    <fill>
      <patternFill patternType="solid">
        <fgColor rgb="FFE98FC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medium">
        <color auto="1"/>
      </bottom>
      <diagonal/>
    </border>
    <border>
      <left style="dashed">
        <color indexed="64"/>
      </left>
      <right style="dashed">
        <color indexed="64"/>
      </right>
      <top style="medium">
        <color auto="1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</borders>
  <cellStyleXfs count="10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4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>
      <alignment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 applyAlignment="1">
      <alignment horizontal="right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14" xfId="0" applyFont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6" fillId="0" borderId="0" xfId="0" applyFont="1" applyAlignment="1"/>
    <xf numFmtId="0" fontId="0" fillId="0" borderId="0" xfId="0" applyFill="1">
      <alignment vertical="center"/>
    </xf>
    <xf numFmtId="0" fontId="6" fillId="6" borderId="10" xfId="0" applyFont="1" applyFill="1" applyBorder="1" applyAlignment="1">
      <alignment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>
      <alignment vertical="center"/>
    </xf>
    <xf numFmtId="179" fontId="4" fillId="7" borderId="10" xfId="0" applyNumberFormat="1" applyFont="1" applyFill="1" applyBorder="1">
      <alignment vertical="center"/>
    </xf>
    <xf numFmtId="0" fontId="6" fillId="7" borderId="10" xfId="0" applyFont="1" applyFill="1" applyBorder="1" applyAlignment="1">
      <alignment vertical="center"/>
    </xf>
    <xf numFmtId="0" fontId="4" fillId="7" borderId="7" xfId="0" applyFont="1" applyFill="1" applyBorder="1">
      <alignment vertical="center"/>
    </xf>
    <xf numFmtId="0" fontId="4" fillId="7" borderId="10" xfId="0" applyFont="1" applyFill="1" applyBorder="1">
      <alignment vertical="center"/>
    </xf>
    <xf numFmtId="177" fontId="4" fillId="7" borderId="10" xfId="0" applyNumberFormat="1" applyFont="1" applyFill="1" applyBorder="1">
      <alignment vertical="center"/>
    </xf>
    <xf numFmtId="176" fontId="4" fillId="7" borderId="10" xfId="0" applyNumberFormat="1" applyFont="1" applyFill="1" applyBorder="1">
      <alignment vertical="center"/>
    </xf>
    <xf numFmtId="176" fontId="4" fillId="7" borderId="6" xfId="0" applyNumberFormat="1" applyFont="1" applyFill="1" applyBorder="1">
      <alignment vertical="center"/>
    </xf>
    <xf numFmtId="179" fontId="4" fillId="7" borderId="1" xfId="0" applyNumberFormat="1" applyFont="1" applyFill="1" applyBorder="1">
      <alignment vertical="center"/>
    </xf>
    <xf numFmtId="176" fontId="4" fillId="7" borderId="1" xfId="0" applyNumberFormat="1" applyFont="1" applyFill="1" applyBorder="1">
      <alignment vertical="center"/>
    </xf>
    <xf numFmtId="0" fontId="6" fillId="7" borderId="1" xfId="0" applyFont="1" applyFill="1" applyBorder="1" applyAlignment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right" vertical="center"/>
    </xf>
    <xf numFmtId="0" fontId="4" fillId="7" borderId="0" xfId="0" applyFont="1" applyFill="1">
      <alignment vertical="center"/>
    </xf>
    <xf numFmtId="0" fontId="4" fillId="7" borderId="4" xfId="0" applyFont="1" applyFill="1" applyBorder="1" applyAlignment="1">
      <alignment horizontal="right" vertical="center"/>
    </xf>
    <xf numFmtId="0" fontId="0" fillId="0" borderId="7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vertical="center" wrapText="1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176" fontId="0" fillId="0" borderId="2" xfId="0" applyNumberFormat="1" applyFill="1" applyBorder="1">
      <alignment vertical="center"/>
    </xf>
    <xf numFmtId="0" fontId="0" fillId="8" borderId="0" xfId="0" applyFill="1">
      <alignment vertical="center"/>
    </xf>
    <xf numFmtId="176" fontId="0" fillId="0" borderId="1" xfId="0" applyNumberFormat="1" applyFill="1" applyBorder="1" applyAlignment="1">
      <alignment horizontal="right" vertical="center"/>
    </xf>
    <xf numFmtId="176" fontId="0" fillId="2" borderId="2" xfId="0" applyNumberFormat="1" applyFill="1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6" fontId="0" fillId="2" borderId="0" xfId="0" applyNumberFormat="1" applyFill="1" applyBorder="1">
      <alignment vertical="center"/>
    </xf>
    <xf numFmtId="176" fontId="0" fillId="0" borderId="3" xfId="0" applyNumberFormat="1" applyBorder="1">
      <alignment vertical="center"/>
    </xf>
    <xf numFmtId="0" fontId="0" fillId="2" borderId="0" xfId="0" applyFill="1" applyBorder="1">
      <alignment vertical="center"/>
    </xf>
    <xf numFmtId="0" fontId="0" fillId="0" borderId="0" xfId="0" applyBorder="1">
      <alignment vertical="center"/>
    </xf>
    <xf numFmtId="0" fontId="6" fillId="7" borderId="1" xfId="0" applyFont="1" applyFill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right" vertical="center"/>
    </xf>
    <xf numFmtId="0" fontId="4" fillId="7" borderId="18" xfId="0" applyFont="1" applyFill="1" applyBorder="1">
      <alignment vertical="center"/>
    </xf>
    <xf numFmtId="179" fontId="4" fillId="7" borderId="18" xfId="0" applyNumberFormat="1" applyFont="1" applyFill="1" applyBorder="1">
      <alignment vertical="center"/>
    </xf>
    <xf numFmtId="176" fontId="4" fillId="7" borderId="18" xfId="0" applyNumberFormat="1" applyFont="1" applyFill="1" applyBorder="1">
      <alignment vertical="center"/>
    </xf>
    <xf numFmtId="0" fontId="6" fillId="7" borderId="18" xfId="0" applyFont="1" applyFill="1" applyBorder="1" applyAlignment="1">
      <alignment vertical="center"/>
    </xf>
    <xf numFmtId="0" fontId="4" fillId="7" borderId="22" xfId="0" applyFont="1" applyFill="1" applyBorder="1">
      <alignment vertical="center"/>
    </xf>
    <xf numFmtId="0" fontId="6" fillId="6" borderId="18" xfId="0" applyFont="1" applyFill="1" applyBorder="1" applyAlignme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vertical="center"/>
    </xf>
    <xf numFmtId="0" fontId="6" fillId="7" borderId="2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6" borderId="21" xfId="0" applyFont="1" applyFill="1" applyBorder="1" applyAlignment="1">
      <alignment vertical="center"/>
    </xf>
    <xf numFmtId="0" fontId="4" fillId="0" borderId="1" xfId="0" applyFont="1" applyBorder="1">
      <alignment vertical="center"/>
    </xf>
    <xf numFmtId="0" fontId="6" fillId="6" borderId="20" xfId="0" applyFont="1" applyFill="1" applyBorder="1" applyAlignment="1">
      <alignment vertical="center"/>
    </xf>
    <xf numFmtId="0" fontId="6" fillId="6" borderId="9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vertical="center"/>
    </xf>
    <xf numFmtId="0" fontId="6" fillId="6" borderId="10" xfId="0" applyFont="1" applyFill="1" applyBorder="1" applyAlignment="1">
      <alignment horizontal="center" vertical="center"/>
    </xf>
    <xf numFmtId="0" fontId="6" fillId="11" borderId="7" xfId="0" applyFont="1" applyFill="1" applyBorder="1" applyAlignment="1"/>
    <xf numFmtId="0" fontId="6" fillId="11" borderId="10" xfId="0" applyFont="1" applyFill="1" applyBorder="1" applyAlignment="1"/>
    <xf numFmtId="0" fontId="6" fillId="11" borderId="6" xfId="0" applyFont="1" applyFill="1" applyBorder="1" applyAlignment="1"/>
    <xf numFmtId="0" fontId="4" fillId="11" borderId="10" xfId="0" applyFont="1" applyFill="1" applyBorder="1" applyAlignment="1">
      <alignment horizontal="center" vertical="center"/>
    </xf>
    <xf numFmtId="0" fontId="4" fillId="11" borderId="7" xfId="0" applyFont="1" applyFill="1" applyBorder="1">
      <alignment vertical="center"/>
    </xf>
    <xf numFmtId="0" fontId="4" fillId="11" borderId="10" xfId="0" applyFont="1" applyFill="1" applyBorder="1">
      <alignment vertical="center"/>
    </xf>
    <xf numFmtId="179" fontId="4" fillId="11" borderId="10" xfId="0" applyNumberFormat="1" applyFont="1" applyFill="1" applyBorder="1">
      <alignment vertical="center"/>
    </xf>
    <xf numFmtId="176" fontId="4" fillId="11" borderId="10" xfId="0" applyNumberFormat="1" applyFont="1" applyFill="1" applyBorder="1">
      <alignment vertical="center"/>
    </xf>
    <xf numFmtId="176" fontId="4" fillId="11" borderId="6" xfId="0" applyNumberFormat="1" applyFont="1" applyFill="1" applyBorder="1">
      <alignment vertical="center"/>
    </xf>
    <xf numFmtId="0" fontId="6" fillId="11" borderId="10" xfId="0" applyFont="1" applyFill="1" applyBorder="1" applyAlignment="1">
      <alignment vertical="center"/>
    </xf>
    <xf numFmtId="177" fontId="4" fillId="11" borderId="10" xfId="0" applyNumberFormat="1" applyFont="1" applyFill="1" applyBorder="1">
      <alignment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8" xfId="0" applyFont="1" applyFill="1" applyBorder="1">
      <alignment vertical="center"/>
    </xf>
    <xf numFmtId="0" fontId="4" fillId="11" borderId="9" xfId="0" applyFont="1" applyFill="1" applyBorder="1">
      <alignment vertical="center"/>
    </xf>
    <xf numFmtId="179" fontId="4" fillId="11" borderId="9" xfId="0" applyNumberFormat="1" applyFont="1" applyFill="1" applyBorder="1">
      <alignment vertical="center"/>
    </xf>
    <xf numFmtId="176" fontId="4" fillId="11" borderId="9" xfId="0" applyNumberFormat="1" applyFont="1" applyFill="1" applyBorder="1">
      <alignment vertical="center"/>
    </xf>
    <xf numFmtId="176" fontId="4" fillId="11" borderId="5" xfId="0" applyNumberFormat="1" applyFont="1" applyFill="1" applyBorder="1">
      <alignment vertical="center"/>
    </xf>
    <xf numFmtId="0" fontId="6" fillId="11" borderId="18" xfId="0" applyFont="1" applyFill="1" applyBorder="1" applyAlignment="1">
      <alignment vertical="center"/>
    </xf>
    <xf numFmtId="0" fontId="6" fillId="11" borderId="4" xfId="0" applyFont="1" applyFill="1" applyBorder="1" applyAlignment="1"/>
    <xf numFmtId="0" fontId="6" fillId="11" borderId="1" xfId="0" applyFont="1" applyFill="1" applyBorder="1" applyAlignment="1"/>
    <xf numFmtId="0" fontId="6" fillId="11" borderId="2" xfId="0" applyFont="1" applyFill="1" applyBorder="1" applyAlignment="1"/>
    <xf numFmtId="0" fontId="12" fillId="11" borderId="10" xfId="0" applyFont="1" applyFill="1" applyBorder="1" applyAlignment="1"/>
    <xf numFmtId="0" fontId="12" fillId="11" borderId="9" xfId="0" applyFont="1" applyFill="1" applyBorder="1" applyAlignment="1"/>
    <xf numFmtId="0" fontId="6" fillId="11" borderId="9" xfId="0" applyFont="1" applyFill="1" applyBorder="1" applyAlignment="1">
      <alignment horizontal="right" vertical="center"/>
    </xf>
    <xf numFmtId="0" fontId="6" fillId="11" borderId="5" xfId="0" applyFont="1" applyFill="1" applyBorder="1" applyAlignment="1">
      <alignment horizontal="right" vertical="center"/>
    </xf>
    <xf numFmtId="0" fontId="6" fillId="11" borderId="5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right" vertical="center"/>
    </xf>
    <xf numFmtId="0" fontId="4" fillId="11" borderId="1" xfId="0" applyFont="1" applyFill="1" applyBorder="1" applyAlignment="1">
      <alignment horizontal="right" vertical="center"/>
    </xf>
    <xf numFmtId="0" fontId="4" fillId="11" borderId="1" xfId="0" applyFont="1" applyFill="1" applyBorder="1">
      <alignment vertical="center"/>
    </xf>
    <xf numFmtId="179" fontId="4" fillId="11" borderId="1" xfId="0" applyNumberFormat="1" applyFont="1" applyFill="1" applyBorder="1">
      <alignment vertical="center"/>
    </xf>
    <xf numFmtId="176" fontId="4" fillId="11" borderId="1" xfId="0" applyNumberFormat="1" applyFont="1" applyFill="1" applyBorder="1">
      <alignment vertical="center"/>
    </xf>
    <xf numFmtId="0" fontId="4" fillId="11" borderId="0" xfId="0" applyFont="1" applyFill="1">
      <alignment vertical="center"/>
    </xf>
    <xf numFmtId="0" fontId="4" fillId="11" borderId="7" xfId="0" applyFont="1" applyFill="1" applyBorder="1" applyAlignment="1">
      <alignment horizontal="right" vertical="center"/>
    </xf>
    <xf numFmtId="0" fontId="4" fillId="11" borderId="10" xfId="0" applyFont="1" applyFill="1" applyBorder="1" applyAlignment="1">
      <alignment horizontal="right" vertical="center"/>
    </xf>
    <xf numFmtId="0" fontId="4" fillId="12" borderId="0" xfId="0" applyFont="1" applyFill="1">
      <alignment vertical="center"/>
    </xf>
    <xf numFmtId="0" fontId="4" fillId="12" borderId="1" xfId="0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right" vertical="center"/>
    </xf>
    <xf numFmtId="0" fontId="4" fillId="12" borderId="1" xfId="0" applyFont="1" applyFill="1" applyBorder="1" applyAlignment="1">
      <alignment horizontal="right" vertical="center"/>
    </xf>
    <xf numFmtId="0" fontId="4" fillId="12" borderId="1" xfId="0" applyFont="1" applyFill="1" applyBorder="1">
      <alignment vertical="center"/>
    </xf>
    <xf numFmtId="179" fontId="4" fillId="12" borderId="1" xfId="0" applyNumberFormat="1" applyFont="1" applyFill="1" applyBorder="1">
      <alignment vertical="center"/>
    </xf>
    <xf numFmtId="176" fontId="4" fillId="12" borderId="1" xfId="0" applyNumberFormat="1" applyFont="1" applyFill="1" applyBorder="1">
      <alignment vertical="center"/>
    </xf>
    <xf numFmtId="0" fontId="6" fillId="12" borderId="10" xfId="0" applyFont="1" applyFill="1" applyBorder="1" applyAlignment="1">
      <alignment vertical="center"/>
    </xf>
    <xf numFmtId="0" fontId="6" fillId="12" borderId="1" xfId="0" applyFont="1" applyFill="1" applyBorder="1" applyAlignment="1">
      <alignment horizontal="center" vertical="center"/>
    </xf>
    <xf numFmtId="0" fontId="6" fillId="12" borderId="4" xfId="0" applyFont="1" applyFill="1" applyBorder="1" applyAlignment="1"/>
    <xf numFmtId="0" fontId="6" fillId="12" borderId="7" xfId="0" applyFont="1" applyFill="1" applyBorder="1" applyAlignment="1"/>
    <xf numFmtId="0" fontId="6" fillId="12" borderId="10" xfId="0" applyFont="1" applyFill="1" applyBorder="1" applyAlignment="1"/>
    <xf numFmtId="0" fontId="6" fillId="12" borderId="1" xfId="0" applyFont="1" applyFill="1" applyBorder="1" applyAlignment="1">
      <alignment horizontal="right"/>
    </xf>
    <xf numFmtId="0" fontId="6" fillId="12" borderId="2" xfId="0" applyFont="1" applyFill="1" applyBorder="1" applyAlignment="1">
      <alignment horizontal="right"/>
    </xf>
    <xf numFmtId="0" fontId="6" fillId="12" borderId="2" xfId="0" applyFont="1" applyFill="1" applyBorder="1" applyAlignment="1"/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1" borderId="21" xfId="0" applyFont="1" applyFill="1" applyBorder="1" applyAlignment="1"/>
    <xf numFmtId="0" fontId="6" fillId="11" borderId="18" xfId="0" applyFont="1" applyFill="1" applyBorder="1" applyAlignment="1"/>
    <xf numFmtId="0" fontId="6" fillId="11" borderId="20" xfId="0" applyFont="1" applyFill="1" applyBorder="1" applyAlignment="1">
      <alignment vertical="center"/>
    </xf>
    <xf numFmtId="0" fontId="6" fillId="12" borderId="10" xfId="0" applyFont="1" applyFill="1" applyBorder="1" applyAlignment="1">
      <alignment horizontal="right"/>
    </xf>
    <xf numFmtId="0" fontId="6" fillId="12" borderId="6" xfId="0" applyFont="1" applyFill="1" applyBorder="1" applyAlignment="1">
      <alignment horizontal="right"/>
    </xf>
    <xf numFmtId="0" fontId="6" fillId="12" borderId="6" xfId="0" applyFont="1" applyFill="1" applyBorder="1" applyAlignment="1"/>
    <xf numFmtId="0" fontId="4" fillId="7" borderId="9" xfId="0" applyFont="1" applyFill="1" applyBorder="1" applyAlignment="1">
      <alignment horizontal="center" vertical="center"/>
    </xf>
    <xf numFmtId="0" fontId="6" fillId="12" borderId="8" xfId="0" applyFont="1" applyFill="1" applyBorder="1" applyAlignment="1"/>
    <xf numFmtId="0" fontId="6" fillId="12" borderId="21" xfId="0" applyFont="1" applyFill="1" applyBorder="1" applyAlignment="1"/>
    <xf numFmtId="0" fontId="6" fillId="12" borderId="18" xfId="0" applyFont="1" applyFill="1" applyBorder="1" applyAlignment="1"/>
    <xf numFmtId="0" fontId="6" fillId="12" borderId="9" xfId="0" applyFont="1" applyFill="1" applyBorder="1" applyAlignment="1">
      <alignment horizontal="right"/>
    </xf>
    <xf numFmtId="0" fontId="6" fillId="12" borderId="5" xfId="0" applyFont="1" applyFill="1" applyBorder="1" applyAlignment="1">
      <alignment horizontal="right"/>
    </xf>
    <xf numFmtId="0" fontId="6" fillId="12" borderId="5" xfId="0" applyFont="1" applyFill="1" applyBorder="1" applyAlignment="1"/>
    <xf numFmtId="0" fontId="13" fillId="9" borderId="9" xfId="0" applyFont="1" applyFill="1" applyBorder="1" applyAlignment="1">
      <alignment horizontal="center" vertical="center" wrapText="1"/>
    </xf>
    <xf numFmtId="0" fontId="15" fillId="9" borderId="9" xfId="0" applyFont="1" applyFill="1" applyBorder="1" applyAlignment="1">
      <alignment horizontal="center" vertical="center"/>
    </xf>
    <xf numFmtId="0" fontId="13" fillId="14" borderId="9" xfId="0" applyFont="1" applyFill="1" applyBorder="1" applyAlignment="1">
      <alignment horizontal="center" vertical="center" wrapText="1"/>
    </xf>
    <xf numFmtId="0" fontId="16" fillId="14" borderId="9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6" fillId="7" borderId="4" xfId="0" applyFont="1" applyFill="1" applyBorder="1" applyAlignment="1"/>
    <xf numFmtId="0" fontId="4" fillId="7" borderId="10" xfId="0" applyFont="1" applyFill="1" applyBorder="1" applyAlignment="1">
      <alignment horizontal="right" vertical="center"/>
    </xf>
    <xf numFmtId="0" fontId="6" fillId="7" borderId="7" xfId="0" applyFont="1" applyFill="1" applyBorder="1" applyAlignment="1"/>
    <xf numFmtId="0" fontId="6" fillId="7" borderId="10" xfId="0" applyFont="1" applyFill="1" applyBorder="1" applyAlignment="1"/>
    <xf numFmtId="0" fontId="6" fillId="7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4" fillId="12" borderId="10" xfId="0" applyFont="1" applyFill="1" applyBorder="1" applyAlignment="1">
      <alignment horizontal="center" vertical="center"/>
    </xf>
    <xf numFmtId="0" fontId="4" fillId="12" borderId="10" xfId="0" applyFont="1" applyFill="1" applyBorder="1">
      <alignment vertical="center"/>
    </xf>
    <xf numFmtId="179" fontId="4" fillId="12" borderId="10" xfId="0" applyNumberFormat="1" applyFont="1" applyFill="1" applyBorder="1">
      <alignment vertical="center"/>
    </xf>
    <xf numFmtId="0" fontId="6" fillId="12" borderId="6" xfId="0" applyFont="1" applyFill="1" applyBorder="1" applyAlignment="1">
      <alignment vertical="center"/>
    </xf>
    <xf numFmtId="0" fontId="6" fillId="0" borderId="0" xfId="0" applyFont="1" applyAlignment="1">
      <alignment horizontal="center"/>
    </xf>
    <xf numFmtId="0" fontId="6" fillId="12" borderId="10" xfId="0" applyFont="1" applyFill="1" applyBorder="1" applyAlignment="1">
      <alignment horizontal="center"/>
    </xf>
    <xf numFmtId="0" fontId="6" fillId="11" borderId="9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12" borderId="4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0" fontId="6" fillId="11" borderId="9" xfId="0" applyFont="1" applyFill="1" applyBorder="1" applyAlignment="1">
      <alignment horizontal="center" vertical="center"/>
    </xf>
    <xf numFmtId="0" fontId="6" fillId="11" borderId="4" xfId="0" applyFont="1" applyFill="1" applyBorder="1" applyAlignment="1">
      <alignment horizontal="center"/>
    </xf>
    <xf numFmtId="0" fontId="6" fillId="12" borderId="1" xfId="0" applyFont="1" applyFill="1" applyBorder="1" applyAlignment="1">
      <alignment horizontal="center"/>
    </xf>
    <xf numFmtId="0" fontId="6" fillId="12" borderId="7" xfId="0" applyFont="1" applyFill="1" applyBorder="1" applyAlignment="1">
      <alignment horizontal="center"/>
    </xf>
    <xf numFmtId="0" fontId="6" fillId="12" borderId="8" xfId="0" applyFont="1" applyFill="1" applyBorder="1" applyAlignment="1">
      <alignment horizontal="center"/>
    </xf>
    <xf numFmtId="0" fontId="6" fillId="15" borderId="9" xfId="0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vertical="center"/>
    </xf>
    <xf numFmtId="0" fontId="6" fillId="15" borderId="6" xfId="0" applyFont="1" applyFill="1" applyBorder="1" applyAlignment="1">
      <alignment horizontal="left" vertical="center"/>
    </xf>
    <xf numFmtId="0" fontId="6" fillId="15" borderId="18" xfId="0" applyFont="1" applyFill="1" applyBorder="1" applyAlignment="1">
      <alignment vertical="center"/>
    </xf>
    <xf numFmtId="0" fontId="6" fillId="15" borderId="18" xfId="0" applyFont="1" applyFill="1" applyBorder="1" applyAlignment="1">
      <alignment horizontal="center" vertical="center"/>
    </xf>
    <xf numFmtId="0" fontId="10" fillId="13" borderId="15" xfId="0" applyFont="1" applyFill="1" applyBorder="1" applyAlignment="1">
      <alignment horizontal="center" vertical="center" wrapText="1"/>
    </xf>
    <xf numFmtId="0" fontId="10" fillId="13" borderId="27" xfId="0" applyFont="1" applyFill="1" applyBorder="1" applyAlignment="1">
      <alignment horizontal="center" vertical="center"/>
    </xf>
    <xf numFmtId="0" fontId="13" fillId="16" borderId="9" xfId="0" applyFont="1" applyFill="1" applyBorder="1" applyAlignment="1">
      <alignment horizontal="center" vertical="center" wrapText="1"/>
    </xf>
    <xf numFmtId="0" fontId="16" fillId="16" borderId="9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right" vertical="center"/>
    </xf>
    <xf numFmtId="0" fontId="20" fillId="16" borderId="9" xfId="0" applyFont="1" applyFill="1" applyBorder="1" applyAlignment="1">
      <alignment horizontal="center" vertical="center" wrapText="1"/>
    </xf>
    <xf numFmtId="17" fontId="6" fillId="7" borderId="4" xfId="0" quotePrefix="1" applyNumberFormat="1" applyFont="1" applyFill="1" applyBorder="1" applyAlignment="1"/>
    <xf numFmtId="0" fontId="10" fillId="1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quotePrefix="1" applyFont="1" applyBorder="1" applyAlignment="1">
      <alignment horizontal="right" vertical="center"/>
    </xf>
    <xf numFmtId="0" fontId="4" fillId="0" borderId="1" xfId="0" applyFont="1" applyBorder="1" applyAlignment="1">
      <alignment vertical="center" wrapText="1"/>
    </xf>
    <xf numFmtId="0" fontId="5" fillId="10" borderId="12" xfId="0" applyFont="1" applyFill="1" applyBorder="1" applyAlignment="1">
      <alignment horizontal="left" vertical="center"/>
    </xf>
    <xf numFmtId="0" fontId="5" fillId="10" borderId="13" xfId="0" applyFont="1" applyFill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78" fontId="6" fillId="12" borderId="10" xfId="0" applyNumberFormat="1" applyFont="1" applyFill="1" applyBorder="1" applyAlignment="1">
      <alignment horizontal="right" vertical="center"/>
    </xf>
    <xf numFmtId="180" fontId="6" fillId="12" borderId="10" xfId="0" applyNumberFormat="1" applyFont="1" applyFill="1" applyBorder="1" applyAlignment="1">
      <alignment horizontal="right"/>
    </xf>
    <xf numFmtId="178" fontId="6" fillId="11" borderId="10" xfId="0" applyNumberFormat="1" applyFont="1" applyFill="1" applyBorder="1" applyAlignment="1">
      <alignment horizontal="right" vertical="center"/>
    </xf>
    <xf numFmtId="178" fontId="6" fillId="7" borderId="10" xfId="0" applyNumberFormat="1" applyFont="1" applyFill="1" applyBorder="1" applyAlignment="1">
      <alignment horizontal="right" vertical="center"/>
    </xf>
    <xf numFmtId="180" fontId="6" fillId="7" borderId="10" xfId="0" applyNumberFormat="1" applyFont="1" applyFill="1" applyBorder="1" applyAlignment="1">
      <alignment horizontal="right"/>
    </xf>
    <xf numFmtId="178" fontId="6" fillId="11" borderId="18" xfId="0" applyNumberFormat="1" applyFont="1" applyFill="1" applyBorder="1" applyAlignment="1">
      <alignment horizontal="right" vertical="center"/>
    </xf>
    <xf numFmtId="180" fontId="6" fillId="7" borderId="10" xfId="0" applyNumberFormat="1" applyFont="1" applyFill="1" applyBorder="1" applyAlignment="1">
      <alignment horizontal="right" vertical="center"/>
    </xf>
    <xf numFmtId="178" fontId="6" fillId="7" borderId="1" xfId="0" applyNumberFormat="1" applyFont="1" applyFill="1" applyBorder="1" applyAlignment="1">
      <alignment horizontal="right" vertical="center"/>
    </xf>
    <xf numFmtId="180" fontId="6" fillId="7" borderId="1" xfId="0" applyNumberFormat="1" applyFont="1" applyFill="1" applyBorder="1" applyAlignment="1">
      <alignment horizontal="right"/>
    </xf>
    <xf numFmtId="178" fontId="6" fillId="7" borderId="18" xfId="0" applyNumberFormat="1" applyFont="1" applyFill="1" applyBorder="1" applyAlignment="1">
      <alignment horizontal="right" vertical="center"/>
    </xf>
    <xf numFmtId="180" fontId="6" fillId="7" borderId="18" xfId="0" applyNumberFormat="1" applyFont="1" applyFill="1" applyBorder="1" applyAlignment="1">
      <alignment horizontal="right"/>
    </xf>
    <xf numFmtId="0" fontId="6" fillId="12" borderId="4" xfId="0" applyFont="1" applyFill="1" applyBorder="1" applyAlignment="1">
      <alignment horizontal="right"/>
    </xf>
    <xf numFmtId="0" fontId="4" fillId="0" borderId="9" xfId="0" applyFont="1" applyBorder="1" applyAlignment="1">
      <alignment horizontal="center" vertical="center"/>
    </xf>
    <xf numFmtId="176" fontId="21" fillId="17" borderId="1" xfId="0" applyNumberFormat="1" applyFont="1" applyFill="1" applyBorder="1">
      <alignment vertical="center"/>
    </xf>
    <xf numFmtId="0" fontId="21" fillId="17" borderId="1" xfId="0" applyFont="1" applyFill="1" applyBorder="1">
      <alignment vertical="center"/>
    </xf>
    <xf numFmtId="0" fontId="22" fillId="17" borderId="1" xfId="0" applyFont="1" applyFill="1" applyBorder="1" applyAlignment="1">
      <alignment horizontal="right" vertical="center"/>
    </xf>
    <xf numFmtId="0" fontId="22" fillId="17" borderId="1" xfId="0" applyFont="1" applyFill="1" applyBorder="1">
      <alignment vertical="center"/>
    </xf>
    <xf numFmtId="180" fontId="0" fillId="2" borderId="1" xfId="0" applyNumberFormat="1" applyFill="1" applyBorder="1">
      <alignment vertical="center"/>
    </xf>
    <xf numFmtId="0" fontId="21" fillId="17" borderId="1" xfId="0" applyFont="1" applyFill="1" applyBorder="1" applyAlignment="1">
      <alignment horizontal="center" vertical="center"/>
    </xf>
    <xf numFmtId="0" fontId="21" fillId="9" borderId="0" xfId="0" applyFont="1" applyFill="1">
      <alignment vertical="center"/>
    </xf>
    <xf numFmtId="0" fontId="12" fillId="11" borderId="2" xfId="0" applyFont="1" applyFill="1" applyBorder="1" applyAlignment="1"/>
    <xf numFmtId="0" fontId="12" fillId="11" borderId="7" xfId="0" applyFont="1" applyFill="1" applyBorder="1" applyAlignment="1"/>
    <xf numFmtId="0" fontId="12" fillId="11" borderId="1" xfId="0" applyFont="1" applyFill="1" applyBorder="1" applyAlignment="1"/>
    <xf numFmtId="0" fontId="12" fillId="12" borderId="4" xfId="0" applyFont="1" applyFill="1" applyBorder="1" applyAlignment="1">
      <alignment horizontal="center"/>
    </xf>
    <xf numFmtId="0" fontId="12" fillId="12" borderId="7" xfId="0" applyFont="1" applyFill="1" applyBorder="1" applyAlignment="1"/>
    <xf numFmtId="0" fontId="12" fillId="12" borderId="10" xfId="0" applyFont="1" applyFill="1" applyBorder="1" applyAlignment="1"/>
    <xf numFmtId="0" fontId="12" fillId="12" borderId="1" xfId="0" applyFont="1" applyFill="1" applyBorder="1" applyAlignment="1">
      <alignment horizontal="right"/>
    </xf>
    <xf numFmtId="0" fontId="12" fillId="12" borderId="2" xfId="0" applyFont="1" applyFill="1" applyBorder="1" applyAlignment="1">
      <alignment horizontal="right"/>
    </xf>
    <xf numFmtId="0" fontId="12" fillId="12" borderId="2" xfId="0" applyFont="1" applyFill="1" applyBorder="1" applyAlignment="1"/>
    <xf numFmtId="0" fontId="12" fillId="11" borderId="1" xfId="0" applyFont="1" applyFill="1" applyBorder="1" applyAlignment="1">
      <alignment horizontal="right"/>
    </xf>
    <xf numFmtId="0" fontId="12" fillId="11" borderId="2" xfId="0" applyFont="1" applyFill="1" applyBorder="1" applyAlignment="1">
      <alignment horizontal="right"/>
    </xf>
    <xf numFmtId="0" fontId="6" fillId="11" borderId="7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vertical="center"/>
    </xf>
    <xf numFmtId="0" fontId="6" fillId="11" borderId="6" xfId="0" applyFont="1" applyFill="1" applyBorder="1" applyAlignment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5" fillId="10" borderId="12" xfId="0" applyFont="1" applyFill="1" applyBorder="1" applyAlignment="1">
      <alignment horizontal="left" vertical="center"/>
    </xf>
    <xf numFmtId="0" fontId="5" fillId="10" borderId="13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3" fillId="2" borderId="1" xfId="0" applyFont="1" applyFill="1" applyBorder="1" applyAlignment="1">
      <alignment horizontal="right" vertical="center"/>
    </xf>
    <xf numFmtId="176" fontId="23" fillId="2" borderId="1" xfId="0" applyNumberFormat="1" applyFont="1" applyFill="1" applyBorder="1">
      <alignment vertical="center"/>
    </xf>
    <xf numFmtId="176" fontId="0" fillId="2" borderId="3" xfId="0" applyNumberFormat="1" applyFill="1" applyBorder="1">
      <alignment vertical="center"/>
    </xf>
    <xf numFmtId="0" fontId="23" fillId="2" borderId="1" xfId="0" applyFont="1" applyFill="1" applyBorder="1">
      <alignment vertical="center"/>
    </xf>
    <xf numFmtId="180" fontId="23" fillId="2" borderId="1" xfId="0" applyNumberFormat="1" applyFont="1" applyFill="1" applyBorder="1">
      <alignment vertical="center"/>
    </xf>
    <xf numFmtId="0" fontId="23" fillId="2" borderId="0" xfId="0" applyFont="1" applyFill="1">
      <alignment vertical="center"/>
    </xf>
    <xf numFmtId="181" fontId="4" fillId="11" borderId="10" xfId="0" applyNumberFormat="1" applyFont="1" applyFill="1" applyBorder="1">
      <alignment vertical="center"/>
    </xf>
    <xf numFmtId="0" fontId="6" fillId="7" borderId="4" xfId="0" applyFont="1" applyFill="1" applyBorder="1" applyAlignment="1">
      <alignment horizontal="center"/>
    </xf>
    <xf numFmtId="181" fontId="6" fillId="7" borderId="4" xfId="0" applyNumberFormat="1" applyFont="1" applyFill="1" applyBorder="1" applyAlignment="1"/>
    <xf numFmtId="181" fontId="4" fillId="7" borderId="10" xfId="0" applyNumberFormat="1" applyFont="1" applyFill="1" applyBorder="1">
      <alignment vertical="center"/>
    </xf>
    <xf numFmtId="176" fontId="22" fillId="17" borderId="1" xfId="0" applyNumberFormat="1" applyFont="1" applyFill="1" applyBorder="1">
      <alignment vertical="center"/>
    </xf>
    <xf numFmtId="181" fontId="6" fillId="11" borderId="4" xfId="0" applyNumberFormat="1" applyFont="1" applyFill="1" applyBorder="1" applyAlignment="1"/>
    <xf numFmtId="0" fontId="5" fillId="10" borderId="12" xfId="0" applyFont="1" applyFill="1" applyBorder="1" applyAlignment="1">
      <alignment horizontal="center" vertical="center"/>
    </xf>
    <xf numFmtId="0" fontId="25" fillId="18" borderId="29" xfId="0" applyFont="1" applyFill="1" applyBorder="1">
      <alignment vertical="center"/>
    </xf>
    <xf numFmtId="0" fontId="0" fillId="18" borderId="14" xfId="0" applyFill="1" applyBorder="1">
      <alignment vertical="center"/>
    </xf>
    <xf numFmtId="0" fontId="0" fillId="18" borderId="30" xfId="0" applyFill="1" applyBorder="1">
      <alignment vertical="center"/>
    </xf>
    <xf numFmtId="0" fontId="0" fillId="18" borderId="31" xfId="0" applyFill="1" applyBorder="1">
      <alignment vertical="center"/>
    </xf>
    <xf numFmtId="0" fontId="0" fillId="18" borderId="0" xfId="0" applyFill="1" applyBorder="1">
      <alignment vertical="center"/>
    </xf>
    <xf numFmtId="0" fontId="0" fillId="18" borderId="32" xfId="0" applyFill="1" applyBorder="1">
      <alignment vertical="center"/>
    </xf>
    <xf numFmtId="0" fontId="0" fillId="18" borderId="31" xfId="0" quotePrefix="1" applyFill="1" applyBorder="1">
      <alignment vertical="center"/>
    </xf>
    <xf numFmtId="0" fontId="24" fillId="18" borderId="0" xfId="0" applyFont="1" applyFill="1" applyBorder="1">
      <alignment vertical="center"/>
    </xf>
    <xf numFmtId="0" fontId="0" fillId="18" borderId="0" xfId="0" applyFill="1" applyBorder="1" applyAlignment="1">
      <alignment vertical="center"/>
    </xf>
    <xf numFmtId="0" fontId="7" fillId="18" borderId="0" xfId="99" applyFill="1" applyBorder="1" applyAlignment="1">
      <alignment vertical="center"/>
    </xf>
    <xf numFmtId="0" fontId="24" fillId="18" borderId="31" xfId="0" applyFont="1" applyFill="1" applyBorder="1" applyAlignment="1">
      <alignment vertical="center"/>
    </xf>
    <xf numFmtId="0" fontId="24" fillId="18" borderId="0" xfId="0" applyFont="1" applyFill="1" applyBorder="1" applyAlignment="1">
      <alignment horizontal="left" vertical="center"/>
    </xf>
    <xf numFmtId="0" fontId="0" fillId="18" borderId="24" xfId="0" applyFill="1" applyBorder="1">
      <alignment vertical="center"/>
    </xf>
    <xf numFmtId="0" fontId="0" fillId="18" borderId="23" xfId="0" applyFill="1" applyBorder="1">
      <alignment vertical="center"/>
    </xf>
    <xf numFmtId="0" fontId="0" fillId="18" borderId="33" xfId="0" applyFill="1" applyBorder="1" applyAlignment="1">
      <alignment horizontal="right" vertical="center"/>
    </xf>
    <xf numFmtId="0" fontId="0" fillId="18" borderId="1" xfId="0" applyFont="1" applyFill="1" applyBorder="1">
      <alignment vertical="center"/>
    </xf>
    <xf numFmtId="0" fontId="23" fillId="18" borderId="1" xfId="0" applyFont="1" applyFill="1" applyBorder="1" applyAlignment="1">
      <alignment horizontal="right" vertical="center"/>
    </xf>
    <xf numFmtId="0" fontId="0" fillId="18" borderId="1" xfId="0" applyFill="1" applyBorder="1" applyAlignment="1">
      <alignment horizontal="right" vertical="center"/>
    </xf>
    <xf numFmtId="176" fontId="23" fillId="18" borderId="1" xfId="0" applyNumberFormat="1" applyFont="1" applyFill="1" applyBorder="1">
      <alignment vertical="center"/>
    </xf>
    <xf numFmtId="0" fontId="23" fillId="18" borderId="1" xfId="0" applyFont="1" applyFill="1" applyBorder="1">
      <alignment vertical="center"/>
    </xf>
    <xf numFmtId="180" fontId="23" fillId="18" borderId="1" xfId="0" applyNumberFormat="1" applyFont="1" applyFill="1" applyBorder="1">
      <alignment vertical="center"/>
    </xf>
    <xf numFmtId="0" fontId="23" fillId="18" borderId="0" xfId="0" applyFont="1" applyFill="1">
      <alignment vertical="center"/>
    </xf>
    <xf numFmtId="0" fontId="26" fillId="0" borderId="1" xfId="0" applyFont="1" applyFill="1" applyBorder="1">
      <alignment vertical="center"/>
    </xf>
    <xf numFmtId="0" fontId="27" fillId="0" borderId="1" xfId="0" applyFont="1" applyFill="1" applyBorder="1" applyAlignment="1">
      <alignment horizontal="right" vertical="center"/>
    </xf>
    <xf numFmtId="0" fontId="27" fillId="0" borderId="1" xfId="0" applyFont="1" applyFill="1" applyBorder="1">
      <alignment vertical="center"/>
    </xf>
    <xf numFmtId="182" fontId="4" fillId="0" borderId="0" xfId="0" applyNumberFormat="1" applyFont="1" applyAlignment="1">
      <alignment horizontal="right" vertical="center"/>
    </xf>
    <xf numFmtId="182" fontId="4" fillId="12" borderId="10" xfId="0" applyNumberFormat="1" applyFont="1" applyFill="1" applyBorder="1" applyAlignment="1">
      <alignment horizontal="right" vertical="center"/>
    </xf>
    <xf numFmtId="182" fontId="4" fillId="0" borderId="1" xfId="0" applyNumberFormat="1" applyFont="1" applyBorder="1" applyAlignment="1">
      <alignment horizontal="right" vertical="center"/>
    </xf>
    <xf numFmtId="182" fontId="4" fillId="0" borderId="9" xfId="0" applyNumberFormat="1" applyFont="1" applyBorder="1" applyAlignment="1">
      <alignment horizontal="right" vertical="center"/>
    </xf>
    <xf numFmtId="182" fontId="4" fillId="0" borderId="10" xfId="0" applyNumberFormat="1" applyFont="1" applyBorder="1" applyAlignment="1">
      <alignment horizontal="right" vertical="center"/>
    </xf>
    <xf numFmtId="182" fontId="5" fillId="10" borderId="11" xfId="0" applyNumberFormat="1" applyFont="1" applyFill="1" applyBorder="1" applyAlignment="1">
      <alignment horizontal="left" vertical="center"/>
    </xf>
    <xf numFmtId="182" fontId="12" fillId="0" borderId="1" xfId="0" applyNumberFormat="1" applyFont="1" applyBorder="1" applyAlignment="1">
      <alignment horizontal="right" vertical="center"/>
    </xf>
    <xf numFmtId="182" fontId="4" fillId="12" borderId="1" xfId="0" applyNumberFormat="1" applyFont="1" applyFill="1" applyBorder="1" applyAlignment="1">
      <alignment horizontal="right" vertical="center"/>
    </xf>
    <xf numFmtId="178" fontId="6" fillId="11" borderId="1" xfId="0" applyNumberFormat="1" applyFont="1" applyFill="1" applyBorder="1" applyAlignment="1">
      <alignment horizontal="right" vertical="center"/>
    </xf>
    <xf numFmtId="180" fontId="6" fillId="11" borderId="1" xfId="0" applyNumberFormat="1" applyFont="1" applyFill="1" applyBorder="1" applyAlignment="1">
      <alignment horizontal="right"/>
    </xf>
    <xf numFmtId="0" fontId="6" fillId="11" borderId="0" xfId="0" applyFont="1" applyFill="1">
      <alignment vertical="center"/>
    </xf>
    <xf numFmtId="183" fontId="6" fillId="11" borderId="10" xfId="0" applyNumberFormat="1" applyFont="1" applyFill="1" applyBorder="1" applyAlignment="1">
      <alignment vertical="center"/>
    </xf>
    <xf numFmtId="183" fontId="12" fillId="11" borderId="1" xfId="0" applyNumberFormat="1" applyFont="1" applyFill="1" applyBorder="1" applyAlignment="1"/>
    <xf numFmtId="0" fontId="6" fillId="15" borderId="9" xfId="0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4" fillId="12" borderId="10" xfId="0" applyFont="1" applyFill="1" applyBorder="1" applyAlignment="1">
      <alignment horizontal="right" vertical="center"/>
    </xf>
    <xf numFmtId="176" fontId="4" fillId="12" borderId="10" xfId="0" applyNumberFormat="1" applyFont="1" applyFill="1" applyBorder="1">
      <alignment vertical="center"/>
    </xf>
    <xf numFmtId="0" fontId="6" fillId="12" borderId="9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18" borderId="29" xfId="0" applyFont="1" applyFill="1" applyBorder="1">
      <alignment vertical="center"/>
    </xf>
    <xf numFmtId="0" fontId="4" fillId="18" borderId="14" xfId="0" applyFont="1" applyFill="1" applyBorder="1">
      <alignment vertical="center"/>
    </xf>
    <xf numFmtId="0" fontId="4" fillId="18" borderId="30" xfId="0" applyFont="1" applyFill="1" applyBorder="1">
      <alignment vertical="center"/>
    </xf>
    <xf numFmtId="0" fontId="4" fillId="18" borderId="31" xfId="0" applyFont="1" applyFill="1" applyBorder="1" applyAlignment="1">
      <alignment horizontal="center" vertical="center"/>
    </xf>
    <xf numFmtId="0" fontId="4" fillId="18" borderId="0" xfId="0" applyFont="1" applyFill="1" applyBorder="1" applyAlignment="1">
      <alignment horizontal="center" vertical="center"/>
    </xf>
    <xf numFmtId="0" fontId="4" fillId="18" borderId="32" xfId="0" applyFont="1" applyFill="1" applyBorder="1">
      <alignment vertical="center"/>
    </xf>
    <xf numFmtId="0" fontId="4" fillId="18" borderId="31" xfId="0" applyFont="1" applyFill="1" applyBorder="1">
      <alignment vertical="center"/>
    </xf>
    <xf numFmtId="0" fontId="4" fillId="12" borderId="34" xfId="0" applyFont="1" applyFill="1" applyBorder="1" applyAlignment="1">
      <alignment horizontal="center" vertical="center"/>
    </xf>
    <xf numFmtId="0" fontId="4" fillId="18" borderId="13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18" borderId="12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10" fillId="19" borderId="34" xfId="0" applyFont="1" applyFill="1" applyBorder="1" applyAlignment="1">
      <alignment horizontal="center" vertical="center"/>
    </xf>
    <xf numFmtId="0" fontId="4" fillId="2" borderId="34" xfId="0" applyFont="1" applyFill="1" applyBorder="1">
      <alignment vertical="center"/>
    </xf>
    <xf numFmtId="0" fontId="4" fillId="18" borderId="0" xfId="0" applyFont="1" applyFill="1" applyBorder="1">
      <alignment vertical="center"/>
    </xf>
    <xf numFmtId="0" fontId="4" fillId="18" borderId="0" xfId="0" applyFont="1" applyFill="1">
      <alignment vertical="center"/>
    </xf>
    <xf numFmtId="0" fontId="4" fillId="18" borderId="24" xfId="0" applyFont="1" applyFill="1" applyBorder="1">
      <alignment vertical="center"/>
    </xf>
    <xf numFmtId="0" fontId="4" fillId="18" borderId="23" xfId="0" applyFont="1" applyFill="1" applyBorder="1">
      <alignment vertical="center"/>
    </xf>
    <xf numFmtId="0" fontId="4" fillId="18" borderId="33" xfId="0" applyFont="1" applyFill="1" applyBorder="1">
      <alignment vertical="center"/>
    </xf>
    <xf numFmtId="0" fontId="28" fillId="0" borderId="0" xfId="0" applyFont="1">
      <alignment vertical="center"/>
    </xf>
    <xf numFmtId="0" fontId="4" fillId="0" borderId="34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0" fontId="10" fillId="19" borderId="11" xfId="0" applyFont="1" applyFill="1" applyBorder="1" applyAlignment="1">
      <alignment horizontal="center" vertical="center"/>
    </xf>
    <xf numFmtId="0" fontId="4" fillId="0" borderId="35" xfId="0" applyFont="1" applyBorder="1">
      <alignment vertical="center"/>
    </xf>
    <xf numFmtId="0" fontId="4" fillId="18" borderId="36" xfId="0" applyFont="1" applyFill="1" applyBorder="1" applyAlignment="1">
      <alignment horizontal="center" vertical="center"/>
    </xf>
    <xf numFmtId="0" fontId="4" fillId="18" borderId="36" xfId="0" applyFont="1" applyFill="1" applyBorder="1">
      <alignment vertical="center"/>
    </xf>
    <xf numFmtId="0" fontId="4" fillId="18" borderId="37" xfId="0" applyFont="1" applyFill="1" applyBorder="1">
      <alignment vertical="center"/>
    </xf>
    <xf numFmtId="0" fontId="4" fillId="0" borderId="36" xfId="0" applyFont="1" applyBorder="1">
      <alignment vertical="center"/>
    </xf>
    <xf numFmtId="0" fontId="4" fillId="18" borderId="38" xfId="0" applyFont="1" applyFill="1" applyBorder="1">
      <alignment vertical="center"/>
    </xf>
    <xf numFmtId="0" fontId="10" fillId="19" borderId="3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horizontal="right" vertical="center"/>
    </xf>
    <xf numFmtId="0" fontId="6" fillId="15" borderId="18" xfId="0" applyFont="1" applyFill="1" applyBorder="1" applyAlignment="1">
      <alignment horizontal="center" vertical="center"/>
    </xf>
    <xf numFmtId="0" fontId="10" fillId="12" borderId="13" xfId="0" applyFont="1" applyFill="1" applyBorder="1" applyAlignment="1">
      <alignment horizontal="center" vertical="center"/>
    </xf>
    <xf numFmtId="0" fontId="10" fillId="12" borderId="34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20" borderId="34" xfId="0" applyFont="1" applyFill="1" applyBorder="1" applyAlignment="1">
      <alignment horizontal="center" vertical="center"/>
    </xf>
    <xf numFmtId="0" fontId="10" fillId="20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>
      <alignment vertical="center"/>
    </xf>
    <xf numFmtId="0" fontId="12" fillId="18" borderId="13" xfId="0" applyFont="1" applyFill="1" applyBorder="1" applyAlignment="1">
      <alignment horizontal="center" vertical="center"/>
    </xf>
    <xf numFmtId="0" fontId="12" fillId="18" borderId="34" xfId="0" applyFont="1" applyFill="1" applyBorder="1" applyAlignment="1">
      <alignment horizontal="center" vertical="center"/>
    </xf>
    <xf numFmtId="0" fontId="4" fillId="0" borderId="36" xfId="0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18" borderId="29" xfId="0" applyFill="1" applyBorder="1">
      <alignment vertical="center"/>
    </xf>
    <xf numFmtId="0" fontId="0" fillId="18" borderId="33" xfId="0" applyFill="1" applyBorder="1">
      <alignment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14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8" borderId="23" xfId="0" applyFill="1" applyBorder="1" applyAlignment="1">
      <alignment horizontal="center" vertical="center"/>
    </xf>
    <xf numFmtId="0" fontId="0" fillId="18" borderId="32" xfId="0" applyFill="1" applyBorder="1" applyAlignment="1">
      <alignment horizontal="center" vertical="center"/>
    </xf>
    <xf numFmtId="0" fontId="4" fillId="18" borderId="14" xfId="0" applyFont="1" applyFill="1" applyBorder="1" applyAlignment="1">
      <alignment horizontal="center" vertical="center"/>
    </xf>
    <xf numFmtId="0" fontId="4" fillId="18" borderId="23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23" xfId="0" applyFont="1" applyBorder="1">
      <alignment vertical="center"/>
    </xf>
    <xf numFmtId="0" fontId="5" fillId="2" borderId="34" xfId="0" applyFont="1" applyFill="1" applyBorder="1" applyAlignment="1">
      <alignment horizontal="center" vertical="center"/>
    </xf>
    <xf numFmtId="0" fontId="10" fillId="19" borderId="1" xfId="0" applyFont="1" applyFill="1" applyBorder="1" applyAlignment="1">
      <alignment horizontal="center" vertical="center" wrapText="1"/>
    </xf>
    <xf numFmtId="182" fontId="4" fillId="12" borderId="1" xfId="0" applyNumberFormat="1" applyFont="1" applyFill="1" applyBorder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181" fontId="6" fillId="12" borderId="4" xfId="0" applyNumberFormat="1" applyFont="1" applyFill="1" applyBorder="1" applyAlignment="1">
      <alignment horizontal="right" vertical="center"/>
    </xf>
    <xf numFmtId="181" fontId="4" fillId="11" borderId="10" xfId="0" applyNumberFormat="1" applyFont="1" applyFill="1" applyBorder="1" applyAlignment="1">
      <alignment horizontal="right" vertical="center"/>
    </xf>
    <xf numFmtId="0" fontId="4" fillId="11" borderId="0" xfId="0" applyFont="1" applyFill="1" applyAlignment="1">
      <alignment horizontal="right" vertical="center"/>
    </xf>
    <xf numFmtId="0" fontId="6" fillId="12" borderId="4" xfId="0" applyFont="1" applyFill="1" applyBorder="1" applyAlignment="1">
      <alignment horizontal="right" vertical="center"/>
    </xf>
    <xf numFmtId="0" fontId="6" fillId="12" borderId="4" xfId="0" applyFont="1" applyFill="1" applyBorder="1" applyAlignment="1">
      <alignment horizontal="left" vertical="center"/>
    </xf>
    <xf numFmtId="0" fontId="6" fillId="12" borderId="7" xfId="0" applyFont="1" applyFill="1" applyBorder="1" applyAlignment="1">
      <alignment horizontal="left" vertical="center"/>
    </xf>
    <xf numFmtId="0" fontId="6" fillId="12" borderId="10" xfId="0" applyFont="1" applyFill="1" applyBorder="1" applyAlignment="1">
      <alignment horizontal="left" vertical="center"/>
    </xf>
    <xf numFmtId="0" fontId="6" fillId="12" borderId="1" xfId="0" applyFont="1" applyFill="1" applyBorder="1" applyAlignment="1">
      <alignment horizontal="right" vertical="center"/>
    </xf>
    <xf numFmtId="0" fontId="6" fillId="12" borderId="2" xfId="0" applyFont="1" applyFill="1" applyBorder="1" applyAlignment="1">
      <alignment horizontal="right" vertical="center"/>
    </xf>
    <xf numFmtId="0" fontId="6" fillId="12" borderId="2" xfId="0" applyFont="1" applyFill="1" applyBorder="1" applyAlignment="1">
      <alignment horizontal="left" vertical="center"/>
    </xf>
    <xf numFmtId="0" fontId="6" fillId="12" borderId="21" xfId="0" applyFont="1" applyFill="1" applyBorder="1" applyAlignment="1">
      <alignment horizontal="center"/>
    </xf>
    <xf numFmtId="182" fontId="5" fillId="2" borderId="11" xfId="0" applyNumberFormat="1" applyFont="1" applyFill="1" applyBorder="1" applyAlignment="1">
      <alignment horizontal="center" vertical="center"/>
    </xf>
    <xf numFmtId="182" fontId="5" fillId="2" borderId="12" xfId="0" applyNumberFormat="1" applyFont="1" applyFill="1" applyBorder="1" applyAlignment="1">
      <alignment horizontal="center" vertical="center"/>
    </xf>
    <xf numFmtId="182" fontId="5" fillId="2" borderId="13" xfId="0" applyNumberFormat="1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right" vertical="center"/>
    </xf>
    <xf numFmtId="0" fontId="6" fillId="15" borderId="10" xfId="0" applyFont="1" applyFill="1" applyBorder="1" applyAlignment="1">
      <alignment horizontal="right" vertical="center"/>
    </xf>
    <xf numFmtId="0" fontId="6" fillId="15" borderId="9" xfId="0" applyFont="1" applyFill="1" applyBorder="1" applyAlignment="1">
      <alignment horizontal="left" vertical="center"/>
    </xf>
    <xf numFmtId="0" fontId="6" fillId="15" borderId="10" xfId="0" applyFont="1" applyFill="1" applyBorder="1" applyAlignment="1">
      <alignment horizontal="left" vertical="center"/>
    </xf>
    <xf numFmtId="0" fontId="4" fillId="0" borderId="1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15" borderId="18" xfId="0" applyFont="1" applyFill="1" applyBorder="1" applyAlignment="1">
      <alignment horizontal="center" vertical="center"/>
    </xf>
    <xf numFmtId="0" fontId="6" fillId="15" borderId="18" xfId="0" applyFont="1" applyFill="1" applyBorder="1" applyAlignment="1">
      <alignment horizontal="left" vertical="center"/>
    </xf>
    <xf numFmtId="182" fontId="4" fillId="0" borderId="9" xfId="0" applyNumberFormat="1" applyFont="1" applyBorder="1" applyAlignment="1">
      <alignment horizontal="right" vertical="center"/>
    </xf>
    <xf numFmtId="182" fontId="4" fillId="0" borderId="10" xfId="0" applyNumberFormat="1" applyFont="1" applyBorder="1" applyAlignment="1">
      <alignment horizontal="right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12" fillId="18" borderId="9" xfId="0" applyFont="1" applyFill="1" applyBorder="1" applyAlignment="1">
      <alignment horizontal="center" vertical="center"/>
    </xf>
    <xf numFmtId="0" fontId="12" fillId="18" borderId="10" xfId="0" applyFont="1" applyFill="1" applyBorder="1" applyAlignment="1">
      <alignment horizontal="center" vertical="center"/>
    </xf>
    <xf numFmtId="0" fontId="6" fillId="15" borderId="18" xfId="0" applyFont="1" applyFill="1" applyBorder="1" applyAlignment="1">
      <alignment horizontal="right" vertical="center"/>
    </xf>
    <xf numFmtId="0" fontId="6" fillId="15" borderId="1" xfId="0" applyFont="1" applyFill="1" applyBorder="1" applyAlignment="1">
      <alignment horizontal="center" vertical="center"/>
    </xf>
    <xf numFmtId="0" fontId="11" fillId="10" borderId="11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left" vertical="center"/>
    </xf>
    <xf numFmtId="0" fontId="11" fillId="10" borderId="13" xfId="0" applyFont="1" applyFill="1" applyBorder="1" applyAlignment="1">
      <alignment horizontal="left" vertical="center"/>
    </xf>
    <xf numFmtId="0" fontId="5" fillId="10" borderId="24" xfId="0" applyFont="1" applyFill="1" applyBorder="1" applyAlignment="1">
      <alignment horizontal="left" vertical="center"/>
    </xf>
    <xf numFmtId="0" fontId="5" fillId="10" borderId="23" xfId="0" applyFont="1" applyFill="1" applyBorder="1" applyAlignment="1">
      <alignment horizontal="left" vertical="center"/>
    </xf>
    <xf numFmtId="0" fontId="5" fillId="10" borderId="12" xfId="0" applyFont="1" applyFill="1" applyBorder="1" applyAlignment="1">
      <alignment horizontal="left" vertical="center"/>
    </xf>
    <xf numFmtId="0" fontId="5" fillId="10" borderId="13" xfId="0" applyFont="1" applyFill="1" applyBorder="1" applyAlignment="1">
      <alignment horizontal="left" vertical="center"/>
    </xf>
    <xf numFmtId="0" fontId="5" fillId="10" borderId="11" xfId="0" applyFont="1" applyFill="1" applyBorder="1" applyAlignment="1">
      <alignment horizontal="left" vertical="center"/>
    </xf>
    <xf numFmtId="182" fontId="10" fillId="13" borderId="25" xfId="0" applyNumberFormat="1" applyFont="1" applyFill="1" applyBorder="1" applyAlignment="1">
      <alignment horizontal="center" vertical="center" wrapText="1"/>
    </xf>
    <xf numFmtId="182" fontId="10" fillId="13" borderId="26" xfId="0" applyNumberFormat="1" applyFont="1" applyFill="1" applyBorder="1" applyAlignment="1">
      <alignment horizontal="center" vertical="center" wrapText="1"/>
    </xf>
    <xf numFmtId="0" fontId="10" fillId="13" borderId="15" xfId="0" applyFont="1" applyFill="1" applyBorder="1" applyAlignment="1">
      <alignment horizontal="center" vertical="center" wrapText="1"/>
    </xf>
    <xf numFmtId="0" fontId="10" fillId="13" borderId="27" xfId="0" applyFont="1" applyFill="1" applyBorder="1" applyAlignment="1">
      <alignment horizontal="center" vertical="center" wrapText="1"/>
    </xf>
    <xf numFmtId="0" fontId="6" fillId="7" borderId="28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right" vertical="center"/>
    </xf>
    <xf numFmtId="0" fontId="6" fillId="15" borderId="28" xfId="0" applyFont="1" applyFill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13" fillId="14" borderId="15" xfId="0" applyFont="1" applyFill="1" applyBorder="1" applyAlignment="1">
      <alignment horizontal="left" vertical="center" wrapText="1"/>
    </xf>
    <xf numFmtId="0" fontId="6" fillId="7" borderId="1" xfId="0" applyFont="1" applyFill="1" applyBorder="1" applyAlignment="1">
      <alignment horizontal="center" vertical="center"/>
    </xf>
    <xf numFmtId="0" fontId="6" fillId="7" borderId="18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13" borderId="15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 wrapText="1"/>
    </xf>
    <xf numFmtId="0" fontId="5" fillId="5" borderId="16" xfId="0" applyFont="1" applyFill="1" applyBorder="1" applyAlignment="1">
      <alignment horizontal="center" vertical="center" wrapText="1"/>
    </xf>
    <xf numFmtId="0" fontId="10" fillId="13" borderId="27" xfId="0" applyFont="1" applyFill="1" applyBorder="1" applyAlignment="1">
      <alignment horizontal="center" vertical="center"/>
    </xf>
    <xf numFmtId="0" fontId="19" fillId="13" borderId="15" xfId="0" applyFont="1" applyFill="1" applyBorder="1" applyAlignment="1">
      <alignment horizontal="center" vertical="center" wrapText="1"/>
    </xf>
    <xf numFmtId="0" fontId="13" fillId="16" borderId="15" xfId="0" applyFont="1" applyFill="1" applyBorder="1" applyAlignment="1">
      <alignment horizontal="left" vertical="center" wrapText="1"/>
    </xf>
    <xf numFmtId="0" fontId="13" fillId="9" borderId="15" xfId="0" applyFont="1" applyFill="1" applyBorder="1" applyAlignment="1">
      <alignment horizontal="left" vertical="center" wrapText="1"/>
    </xf>
    <xf numFmtId="0" fontId="13" fillId="14" borderId="19" xfId="0" applyFont="1" applyFill="1" applyBorder="1" applyAlignment="1">
      <alignment horizontal="center" vertical="center"/>
    </xf>
    <xf numFmtId="0" fontId="13" fillId="14" borderId="18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182" fontId="4" fillId="0" borderId="19" xfId="0" applyNumberFormat="1" applyFont="1" applyBorder="1" applyAlignment="1">
      <alignment horizontal="right" vertical="center"/>
    </xf>
    <xf numFmtId="182" fontId="4" fillId="0" borderId="9" xfId="0" applyNumberFormat="1" applyFont="1" applyFill="1" applyBorder="1" applyAlignment="1">
      <alignment horizontal="right" vertical="center"/>
    </xf>
    <xf numFmtId="182" fontId="4" fillId="0" borderId="10" xfId="0" applyNumberFormat="1" applyFont="1" applyFill="1" applyBorder="1" applyAlignment="1">
      <alignment horizontal="right" vertical="center"/>
    </xf>
    <xf numFmtId="0" fontId="10" fillId="19" borderId="9" xfId="0" applyFont="1" applyFill="1" applyBorder="1" applyAlignment="1">
      <alignment horizontal="center" vertical="center"/>
    </xf>
    <xf numFmtId="0" fontId="10" fillId="19" borderId="10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" fillId="18" borderId="0" xfId="0" applyFont="1" applyFill="1" applyBorder="1" applyAlignment="1">
      <alignment horizontal="center" vertical="center" textRotation="255"/>
    </xf>
    <xf numFmtId="185" fontId="4" fillId="0" borderId="1" xfId="0" applyNumberFormat="1" applyFont="1" applyBorder="1" applyAlignment="1">
      <alignment horizontal="center" vertical="center"/>
    </xf>
  </cellXfs>
  <cellStyles count="100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</cellStyles>
  <dxfs count="0"/>
  <tableStyles count="0" defaultTableStyle="TableStyleMedium2" defaultPivotStyle="PivotStyleLight16"/>
  <colors>
    <mruColors>
      <color rgb="FFE98FC5"/>
      <color rgb="FFF22E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292100</xdr:colOff>
          <xdr:row>1</xdr:row>
          <xdr:rowOff>76200</xdr:rowOff>
        </xdr:from>
        <xdr:to>
          <xdr:col>29</xdr:col>
          <xdr:colOff>355600</xdr:colOff>
          <xdr:row>1</xdr:row>
          <xdr:rowOff>406400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482600</xdr:colOff>
          <xdr:row>1</xdr:row>
          <xdr:rowOff>114300</xdr:rowOff>
        </xdr:from>
        <xdr:to>
          <xdr:col>38</xdr:col>
          <xdr:colOff>304800</xdr:colOff>
          <xdr:row>1</xdr:row>
          <xdr:rowOff>406400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1</xdr:row>
          <xdr:rowOff>76200</xdr:rowOff>
        </xdr:from>
        <xdr:to>
          <xdr:col>46</xdr:col>
          <xdr:colOff>355600</xdr:colOff>
          <xdr:row>1</xdr:row>
          <xdr:rowOff>406400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330200</xdr:colOff>
          <xdr:row>1</xdr:row>
          <xdr:rowOff>50800</xdr:rowOff>
        </xdr:from>
        <xdr:to>
          <xdr:col>20</xdr:col>
          <xdr:colOff>609600</xdr:colOff>
          <xdr:row>1</xdr:row>
          <xdr:rowOff>254000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ALL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 charset="-128"/>
                <a:ea typeface="游ゴシック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19050</xdr:rowOff>
    </xdr:from>
    <xdr:to>
      <xdr:col>7</xdr:col>
      <xdr:colOff>676275</xdr:colOff>
      <xdr:row>11</xdr:row>
      <xdr:rowOff>85725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71500" y="1276350"/>
          <a:ext cx="4514850" cy="1495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#</a:t>
          </a:r>
          <a:r>
            <a:rPr kumimoji="1" lang="ja-JP" altLang="en-US" sz="1100"/>
            <a:t>Ｘ座標</a:t>
          </a:r>
          <a:r>
            <a:rPr kumimoji="1" lang="en-US" altLang="ja-JP" sz="1100"/>
            <a:t>(m)  </a:t>
          </a:r>
          <a:r>
            <a:rPr kumimoji="1" lang="ja-JP" altLang="en-US" sz="1100"/>
            <a:t>Ｙ座標</a:t>
          </a:r>
          <a:r>
            <a:rPr kumimoji="1" lang="en-US" altLang="ja-JP" sz="1100"/>
            <a:t>(m)  4</a:t>
          </a:r>
          <a:r>
            <a:rPr kumimoji="1" lang="ja-JP" altLang="en-US" sz="1100"/>
            <a:t>系</a:t>
          </a:r>
        </a:p>
        <a:p>
          <a:r>
            <a:rPr kumimoji="1" lang="en-US" altLang="ja-JP" sz="1100"/>
            <a:t>58263.2808130425	-10271.7384020495</a:t>
          </a:r>
        </a:p>
        <a:p>
          <a:r>
            <a:rPr kumimoji="1" lang="en-US" altLang="ja-JP" sz="1100"/>
            <a:t>58230.8576837923	-10241.9974572822</a:t>
          </a:r>
        </a:p>
        <a:p>
          <a:r>
            <a:rPr kumimoji="1" lang="en-US" altLang="ja-JP" sz="1100"/>
            <a:t>58230.8576837923	-10241.9974572822</a:t>
          </a:r>
        </a:p>
        <a:p>
          <a:r>
            <a:rPr kumimoji="1" lang="en-US" altLang="ja-JP" sz="1100"/>
            <a:t>58196.0607837279	-10207.5033686104</a:t>
          </a:r>
        </a:p>
        <a:p>
          <a:r>
            <a:rPr kumimoji="1" lang="en-US" altLang="ja-JP" sz="1100"/>
            <a:t>58170.7348196787	-10180.5314000127</a:t>
          </a:r>
        </a:p>
        <a:p>
          <a:r>
            <a:rPr kumimoji="1" lang="en-US" altLang="ja-JP" sz="1100"/>
            <a:t>58170.7348196787	-10180.5314000127</a:t>
          </a:r>
        </a:p>
      </xdr:txBody>
    </xdr:sp>
    <xdr:clientData/>
  </xdr:twoCellAnchor>
  <xdr:twoCellAnchor>
    <xdr:from>
      <xdr:col>2</xdr:col>
      <xdr:colOff>57150</xdr:colOff>
      <xdr:row>35</xdr:row>
      <xdr:rowOff>85725</xdr:rowOff>
    </xdr:from>
    <xdr:to>
      <xdr:col>9</xdr:col>
      <xdr:colOff>314325</xdr:colOff>
      <xdr:row>46</xdr:row>
      <xdr:rowOff>142875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609600" y="7772400"/>
          <a:ext cx="5486400" cy="2676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# </a:t>
          </a:r>
          <a:r>
            <a:rPr kumimoji="1" lang="ja-JP" altLang="en-US" sz="1100"/>
            <a:t>このファイルは平面直角座標から緯度・経度への換算結果（一括処理）です。</a:t>
          </a:r>
        </a:p>
        <a:p>
          <a:r>
            <a:rPr kumimoji="1" lang="en-US" altLang="ja-JP" sz="1100"/>
            <a:t># </a:t>
          </a:r>
          <a:r>
            <a:rPr kumimoji="1" lang="ja-JP" altLang="en-US" sz="1100"/>
            <a:t>選択された測地系は「世界測地系」、平面直角座標の系番号は、「</a:t>
          </a:r>
          <a:r>
            <a:rPr kumimoji="1" lang="en-US" altLang="ja-JP" sz="1100"/>
            <a:t>4</a:t>
          </a:r>
          <a:r>
            <a:rPr kumimoji="1" lang="ja-JP" altLang="en-US" sz="1100"/>
            <a:t>」です。</a:t>
          </a:r>
        </a:p>
        <a:p>
          <a:r>
            <a:rPr kumimoji="1" lang="en-US" altLang="ja-JP" sz="1100"/>
            <a:t># </a:t>
          </a:r>
          <a:r>
            <a:rPr kumimoji="1" lang="ja-JP" altLang="en-US" sz="1100"/>
            <a:t>出力項目は以下の通りです。</a:t>
          </a:r>
        </a:p>
        <a:p>
          <a:r>
            <a:rPr kumimoji="1" lang="en-US" altLang="ja-JP" sz="1100"/>
            <a:t># X</a:t>
          </a:r>
          <a:r>
            <a:rPr kumimoji="1" lang="ja-JP" altLang="en-US" sz="1100"/>
            <a:t>座標</a:t>
          </a:r>
          <a:r>
            <a:rPr kumimoji="1" lang="en-US" altLang="ja-JP" sz="1100"/>
            <a:t>(m) Y</a:t>
          </a:r>
          <a:r>
            <a:rPr kumimoji="1" lang="ja-JP" altLang="en-US" sz="1100"/>
            <a:t>座標</a:t>
          </a:r>
          <a:r>
            <a:rPr kumimoji="1" lang="en-US" altLang="ja-JP" sz="1100"/>
            <a:t>(m) </a:t>
          </a:r>
          <a:r>
            <a:rPr kumimoji="1" lang="ja-JP" altLang="en-US" sz="1100"/>
            <a:t>緯度</a:t>
          </a:r>
          <a:r>
            <a:rPr kumimoji="1" lang="en-US" altLang="ja-JP" sz="1100"/>
            <a:t>(dms) </a:t>
          </a:r>
          <a:r>
            <a:rPr kumimoji="1" lang="ja-JP" altLang="en-US" sz="1100"/>
            <a:t>経度</a:t>
          </a:r>
          <a:r>
            <a:rPr kumimoji="1" lang="en-US" altLang="ja-JP" sz="1100"/>
            <a:t>(dms) </a:t>
          </a:r>
          <a:r>
            <a:rPr kumimoji="1" lang="ja-JP" altLang="en-US" sz="1100"/>
            <a:t>真北方向角</a:t>
          </a:r>
          <a:r>
            <a:rPr kumimoji="1" lang="en-US" altLang="ja-JP" sz="1100"/>
            <a:t>(dms) </a:t>
          </a:r>
          <a:r>
            <a:rPr kumimoji="1" lang="ja-JP" altLang="en-US" sz="1100"/>
            <a:t>縮尺係数 コメント</a:t>
          </a:r>
        </a:p>
        <a:p>
          <a:r>
            <a:rPr kumimoji="1" lang="en-US" altLang="ja-JP" sz="1100"/>
            <a:t>#--------------------------------------------------------------------------------</a:t>
          </a:r>
        </a:p>
        <a:p>
          <a:r>
            <a:rPr kumimoji="1" lang="en-US" altLang="ja-JP" sz="1100"/>
            <a:t>#</a:t>
          </a:r>
          <a:r>
            <a:rPr kumimoji="1" lang="ja-JP" altLang="en-US" sz="1100"/>
            <a:t>Ｘ座標</a:t>
          </a:r>
          <a:r>
            <a:rPr kumimoji="1" lang="en-US" altLang="ja-JP" sz="1100"/>
            <a:t>(m) </a:t>
          </a:r>
          <a:r>
            <a:rPr kumimoji="1" lang="ja-JP" altLang="en-US" sz="1100"/>
            <a:t>Ｙ座標</a:t>
          </a:r>
          <a:r>
            <a:rPr kumimoji="1" lang="en-US" altLang="ja-JP" sz="1100"/>
            <a:t>(m) 4</a:t>
          </a:r>
          <a:r>
            <a:rPr kumimoji="1" lang="ja-JP" altLang="en-US" sz="1100"/>
            <a:t>系 </a:t>
          </a:r>
        </a:p>
        <a:p>
          <a:r>
            <a:rPr kumimoji="1" lang="en-US" altLang="ja-JP" sz="1100"/>
            <a:t>58263.2808130425 -10271.7384020495 333131.17931 1332321.89721 339.87 0.99990130 </a:t>
          </a:r>
        </a:p>
        <a:p>
          <a:r>
            <a:rPr kumimoji="1" lang="en-US" altLang="ja-JP" sz="1100"/>
            <a:t>58230.8576837923 -10241.9974572822 333130.12786 1332323.05121 339.24 0.99990129 </a:t>
          </a:r>
        </a:p>
        <a:p>
          <a:r>
            <a:rPr kumimoji="1" lang="en-US" altLang="ja-JP" sz="1100"/>
            <a:t>58230.8576837923 -10241.9974572822 333130.12786 1332323.05121 339.24 0.99990129 </a:t>
          </a:r>
        </a:p>
        <a:p>
          <a:r>
            <a:rPr kumimoji="1" lang="en-US" altLang="ja-JP" sz="1100"/>
            <a:t>58196.0607837279 -10207.5033686104 333128.99951 1332324.38953 338.49 0.99990128 </a:t>
          </a:r>
        </a:p>
        <a:p>
          <a:r>
            <a:rPr kumimoji="1" lang="en-US" altLang="ja-JP" sz="1100"/>
            <a:t>58170.7348196787 -10180.5314000127 333128.17833 1332325.43591 337.92 0.99990128 </a:t>
          </a:r>
        </a:p>
        <a:p>
          <a:r>
            <a:rPr kumimoji="1" lang="en-US" altLang="ja-JP" sz="1100"/>
            <a:t>58170.7348196787 -10180.5314000127 333128.17833 1332325.43591 337.92 0.99990128 </a:t>
          </a:r>
        </a:p>
        <a:p>
          <a:endParaRPr kumimoji="1" lang="ja-JP" altLang="en-US" sz="1100"/>
        </a:p>
      </xdr:txBody>
    </xdr:sp>
    <xdr:clientData/>
  </xdr:twoCellAnchor>
  <xdr:twoCellAnchor>
    <xdr:from>
      <xdr:col>3</xdr:col>
      <xdr:colOff>276225</xdr:colOff>
      <xdr:row>38</xdr:row>
      <xdr:rowOff>123825</xdr:rowOff>
    </xdr:from>
    <xdr:to>
      <xdr:col>5</xdr:col>
      <xdr:colOff>161925</xdr:colOff>
      <xdr:row>39</xdr:row>
      <xdr:rowOff>114300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943100" y="8524875"/>
          <a:ext cx="1257300" cy="228600"/>
        </a:xfrm>
        <a:prstGeom prst="rect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638175</xdr:colOff>
      <xdr:row>41</xdr:row>
      <xdr:rowOff>38099</xdr:rowOff>
    </xdr:from>
    <xdr:to>
      <xdr:col>7</xdr:col>
      <xdr:colOff>314325</xdr:colOff>
      <xdr:row>45</xdr:row>
      <xdr:rowOff>142874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990850" y="9877424"/>
          <a:ext cx="1733550" cy="1057275"/>
        </a:xfrm>
        <a:prstGeom prst="rect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333285</xdr:colOff>
      <xdr:row>19</xdr:row>
      <xdr:rowOff>9525</xdr:rowOff>
    </xdr:from>
    <xdr:to>
      <xdr:col>8</xdr:col>
      <xdr:colOff>419099</xdr:colOff>
      <xdr:row>29</xdr:row>
      <xdr:rowOff>19049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735" y="4600575"/>
          <a:ext cx="4629239" cy="239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44825</xdr:colOff>
      <xdr:row>19</xdr:row>
      <xdr:rowOff>67237</xdr:rowOff>
    </xdr:from>
    <xdr:to>
      <xdr:col>39</xdr:col>
      <xdr:colOff>56031</xdr:colOff>
      <xdr:row>21</xdr:row>
      <xdr:rowOff>32499</xdr:rowOff>
    </xdr:to>
    <xdr:sp macro="" textlink="">
      <xdr:nvSpPr>
        <xdr:cNvPr id="11" name="四角形吹き出し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1934266" y="3496237"/>
          <a:ext cx="1019736" cy="323850"/>
        </a:xfrm>
        <a:prstGeom prst="wedgeRectCallout">
          <a:avLst>
            <a:gd name="adj1" fmla="val -41713"/>
            <a:gd name="adj2" fmla="val -127301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切羽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190500</xdr:colOff>
      <xdr:row>37</xdr:row>
      <xdr:rowOff>123266</xdr:rowOff>
    </xdr:from>
    <xdr:to>
      <xdr:col>56</xdr:col>
      <xdr:colOff>201706</xdr:colOff>
      <xdr:row>39</xdr:row>
      <xdr:rowOff>88527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940618" y="4247031"/>
          <a:ext cx="1019735" cy="323849"/>
        </a:xfrm>
        <a:prstGeom prst="wedgeRectCallout">
          <a:avLst>
            <a:gd name="adj1" fmla="val 8837"/>
            <a:gd name="adj2" fmla="val -110000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今回追加</a:t>
          </a:r>
        </a:p>
      </xdr:txBody>
    </xdr:sp>
    <xdr:clientData/>
  </xdr:twoCellAnchor>
  <xdr:twoCellAnchor>
    <xdr:from>
      <xdr:col>2</xdr:col>
      <xdr:colOff>11206</xdr:colOff>
      <xdr:row>35</xdr:row>
      <xdr:rowOff>123264</xdr:rowOff>
    </xdr:from>
    <xdr:to>
      <xdr:col>5</xdr:col>
      <xdr:colOff>22412</xdr:colOff>
      <xdr:row>37</xdr:row>
      <xdr:rowOff>78440</xdr:rowOff>
    </xdr:to>
    <xdr:sp macro="" textlink="">
      <xdr:nvSpPr>
        <xdr:cNvPr id="5" name="四角形吹き出し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6324" y="2050676"/>
          <a:ext cx="1019735" cy="448235"/>
        </a:xfrm>
        <a:prstGeom prst="wedgeRectCallout">
          <a:avLst>
            <a:gd name="adj1" fmla="val -36218"/>
            <a:gd name="adj2" fmla="val -110000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削除</a:t>
          </a:r>
        </a:p>
      </xdr:txBody>
    </xdr:sp>
    <xdr:clientData/>
  </xdr:twoCellAnchor>
  <xdr:twoCellAnchor>
    <xdr:from>
      <xdr:col>58</xdr:col>
      <xdr:colOff>246530</xdr:colOff>
      <xdr:row>52</xdr:row>
      <xdr:rowOff>44823</xdr:rowOff>
    </xdr:from>
    <xdr:to>
      <xdr:col>61</xdr:col>
      <xdr:colOff>257736</xdr:colOff>
      <xdr:row>54</xdr:row>
      <xdr:rowOff>10085</xdr:rowOff>
    </xdr:to>
    <xdr:sp macro="" textlink="">
      <xdr:nvSpPr>
        <xdr:cNvPr id="7" name="四角形吹き出し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77530" y="6835588"/>
          <a:ext cx="1019735" cy="323850"/>
        </a:xfrm>
        <a:prstGeom prst="wedgeRectCallout">
          <a:avLst>
            <a:gd name="adj1" fmla="val 8837"/>
            <a:gd name="adj2" fmla="val -110000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削除</a:t>
          </a:r>
        </a:p>
      </xdr:txBody>
    </xdr:sp>
    <xdr:clientData/>
  </xdr:twoCellAnchor>
  <xdr:twoCellAnchor>
    <xdr:from>
      <xdr:col>2</xdr:col>
      <xdr:colOff>11206</xdr:colOff>
      <xdr:row>50</xdr:row>
      <xdr:rowOff>78441</xdr:rowOff>
    </xdr:from>
    <xdr:to>
      <xdr:col>5</xdr:col>
      <xdr:colOff>22412</xdr:colOff>
      <xdr:row>52</xdr:row>
      <xdr:rowOff>43702</xdr:rowOff>
    </xdr:to>
    <xdr:sp macro="" textlink="">
      <xdr:nvSpPr>
        <xdr:cNvPr id="9" name="四角形吹き出し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16324" y="6174441"/>
          <a:ext cx="1019735" cy="323849"/>
        </a:xfrm>
        <a:prstGeom prst="wedgeRectCallout">
          <a:avLst>
            <a:gd name="adj1" fmla="val -28526"/>
            <a:gd name="adj2" fmla="val -103079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追加</a:t>
          </a:r>
        </a:p>
      </xdr:txBody>
    </xdr:sp>
    <xdr:clientData/>
  </xdr:twoCellAnchor>
  <xdr:twoCellAnchor>
    <xdr:from>
      <xdr:col>29</xdr:col>
      <xdr:colOff>67235</xdr:colOff>
      <xdr:row>42</xdr:row>
      <xdr:rowOff>78441</xdr:rowOff>
    </xdr:from>
    <xdr:to>
      <xdr:col>34</xdr:col>
      <xdr:colOff>67235</xdr:colOff>
      <xdr:row>45</xdr:row>
      <xdr:rowOff>134471</xdr:rowOff>
    </xdr:to>
    <xdr:sp macro="" textlink="">
      <xdr:nvSpPr>
        <xdr:cNvPr id="10" name="下矢印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603441" y="8101853"/>
          <a:ext cx="1680882" cy="56029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33618</xdr:colOff>
      <xdr:row>67</xdr:row>
      <xdr:rowOff>156881</xdr:rowOff>
    </xdr:from>
    <xdr:to>
      <xdr:col>59</xdr:col>
      <xdr:colOff>11206</xdr:colOff>
      <xdr:row>71</xdr:row>
      <xdr:rowOff>44824</xdr:rowOff>
    </xdr:to>
    <xdr:sp macro="" textlink="">
      <xdr:nvSpPr>
        <xdr:cNvPr id="8" name="四角形吹き出し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7111383" y="12505763"/>
          <a:ext cx="2666999" cy="582708"/>
        </a:xfrm>
        <a:prstGeom prst="wedgeRectCallout">
          <a:avLst>
            <a:gd name="adj1" fmla="val 8837"/>
            <a:gd name="adj2" fmla="val -110000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削除</a:t>
          </a:r>
          <a:endParaRPr kumimoji="1" lang="en-US" altLang="ja-JP" sz="1100"/>
        </a:p>
        <a:p>
          <a:pPr algn="ctr"/>
          <a:r>
            <a:rPr kumimoji="1" lang="en-US" altLang="ja-JP" sz="1100"/>
            <a:t>※</a:t>
          </a:r>
          <a:r>
            <a:rPr kumimoji="1" lang="ja-JP" altLang="en-US" sz="1100"/>
            <a:t>暫定対応</a:t>
          </a:r>
        </a:p>
      </xdr:txBody>
    </xdr:sp>
    <xdr:clientData/>
  </xdr:twoCellAnchor>
  <xdr:twoCellAnchor>
    <xdr:from>
      <xdr:col>29</xdr:col>
      <xdr:colOff>89647</xdr:colOff>
      <xdr:row>57</xdr:row>
      <xdr:rowOff>78441</xdr:rowOff>
    </xdr:from>
    <xdr:to>
      <xdr:col>34</xdr:col>
      <xdr:colOff>89647</xdr:colOff>
      <xdr:row>60</xdr:row>
      <xdr:rowOff>134471</xdr:rowOff>
    </xdr:to>
    <xdr:sp macro="" textlink="">
      <xdr:nvSpPr>
        <xdr:cNvPr id="12" name="下矢印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9771529" y="5076265"/>
          <a:ext cx="1680883" cy="56029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235324</xdr:colOff>
      <xdr:row>31</xdr:row>
      <xdr:rowOff>156884</xdr:rowOff>
    </xdr:from>
    <xdr:to>
      <xdr:col>40</xdr:col>
      <xdr:colOff>246529</xdr:colOff>
      <xdr:row>33</xdr:row>
      <xdr:rowOff>133351</xdr:rowOff>
    </xdr:to>
    <xdr:sp macro="" textlink="">
      <xdr:nvSpPr>
        <xdr:cNvPr id="13" name="四角形吹き出し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2606618" y="3216090"/>
          <a:ext cx="1019735" cy="323849"/>
        </a:xfrm>
        <a:prstGeom prst="wedgeRectCallout">
          <a:avLst>
            <a:gd name="adj1" fmla="val -70284"/>
            <a:gd name="adj2" fmla="val 35329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切羽</a:t>
          </a:r>
        </a:p>
      </xdr:txBody>
    </xdr:sp>
    <xdr:clientData/>
  </xdr:twoCellAnchor>
  <xdr:twoCellAnchor>
    <xdr:from>
      <xdr:col>29</xdr:col>
      <xdr:colOff>56029</xdr:colOff>
      <xdr:row>27</xdr:row>
      <xdr:rowOff>123264</xdr:rowOff>
    </xdr:from>
    <xdr:to>
      <xdr:col>34</xdr:col>
      <xdr:colOff>56029</xdr:colOff>
      <xdr:row>30</xdr:row>
      <xdr:rowOff>123265</xdr:rowOff>
    </xdr:to>
    <xdr:sp macro="" textlink="">
      <xdr:nvSpPr>
        <xdr:cNvPr id="16" name="下矢印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592235" y="5300382"/>
          <a:ext cx="1680882" cy="56029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16</xdr:row>
      <xdr:rowOff>156884</xdr:rowOff>
    </xdr:from>
    <xdr:to>
      <xdr:col>37</xdr:col>
      <xdr:colOff>11206</xdr:colOff>
      <xdr:row>18</xdr:row>
      <xdr:rowOff>133351</xdr:rowOff>
    </xdr:to>
    <xdr:sp macro="" textlink="">
      <xdr:nvSpPr>
        <xdr:cNvPr id="17" name="四角形吹き出し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1362765" y="3048002"/>
          <a:ext cx="1019735" cy="323849"/>
        </a:xfrm>
        <a:prstGeom prst="wedgeRectCallout">
          <a:avLst>
            <a:gd name="adj1" fmla="val -70284"/>
            <a:gd name="adj2" fmla="val 35329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切羽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vldb.gsi.go.jp/sokuchi/surveycalc/surveycalc/xy2blf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G21"/>
  <sheetViews>
    <sheetView tabSelected="1" workbookViewId="0">
      <pane ySplit="2" topLeftCell="A5" activePane="bottomLeft" state="frozen"/>
      <selection pane="bottomLeft" activeCell="C10" sqref="C10"/>
    </sheetView>
  </sheetViews>
  <sheetFormatPr baseColWidth="10" defaultColWidth="8.83203125" defaultRowHeight="18"/>
  <cols>
    <col min="1" max="1" width="2.6640625" customWidth="1"/>
    <col min="2" max="2" width="4.1640625" bestFit="1" customWidth="1"/>
    <col min="3" max="4" width="11.83203125" style="185" customWidth="1"/>
    <col min="5" max="5" width="18.83203125" bestFit="1" customWidth="1"/>
    <col min="6" max="6" width="62.33203125" bestFit="1" customWidth="1"/>
    <col min="7" max="7" width="62.33203125" customWidth="1"/>
  </cols>
  <sheetData>
    <row r="2" spans="2:7">
      <c r="B2" s="184" t="s">
        <v>195</v>
      </c>
      <c r="C2" s="184" t="s">
        <v>189</v>
      </c>
      <c r="D2" s="184" t="s">
        <v>190</v>
      </c>
      <c r="E2" s="184" t="s">
        <v>187</v>
      </c>
      <c r="F2" s="184" t="s">
        <v>186</v>
      </c>
      <c r="G2" s="184" t="s">
        <v>188</v>
      </c>
    </row>
    <row r="3" spans="2:7">
      <c r="B3" s="186">
        <f t="shared" ref="B3:B21" si="0">ROW()-2</f>
        <v>1</v>
      </c>
      <c r="C3" s="452">
        <v>43889</v>
      </c>
      <c r="D3" s="155" t="s">
        <v>191</v>
      </c>
      <c r="E3" s="75" t="s">
        <v>184</v>
      </c>
      <c r="F3" s="75" t="s">
        <v>185</v>
      </c>
      <c r="G3" s="75" t="s">
        <v>198</v>
      </c>
    </row>
    <row r="4" spans="2:7">
      <c r="B4" s="186">
        <f t="shared" si="0"/>
        <v>2</v>
      </c>
      <c r="C4" s="452">
        <v>43889</v>
      </c>
      <c r="D4" s="155" t="s">
        <v>191</v>
      </c>
      <c r="E4" s="75" t="s">
        <v>182</v>
      </c>
      <c r="F4" s="75" t="s">
        <v>183</v>
      </c>
      <c r="G4" s="75" t="s">
        <v>200</v>
      </c>
    </row>
    <row r="5" spans="2:7">
      <c r="B5" s="186">
        <f t="shared" si="0"/>
        <v>3</v>
      </c>
      <c r="C5" s="452">
        <v>43889</v>
      </c>
      <c r="D5" s="155" t="s">
        <v>191</v>
      </c>
      <c r="E5" s="75" t="s">
        <v>182</v>
      </c>
      <c r="F5" s="75" t="s">
        <v>194</v>
      </c>
      <c r="G5" s="75" t="s">
        <v>201</v>
      </c>
    </row>
    <row r="6" spans="2:7">
      <c r="B6" s="186">
        <f t="shared" si="0"/>
        <v>4</v>
      </c>
      <c r="C6" s="452">
        <v>43889</v>
      </c>
      <c r="D6" s="155" t="s">
        <v>191</v>
      </c>
      <c r="E6" s="75" t="s">
        <v>192</v>
      </c>
      <c r="F6" s="75" t="s">
        <v>193</v>
      </c>
      <c r="G6" s="75" t="s">
        <v>202</v>
      </c>
    </row>
    <row r="7" spans="2:7">
      <c r="B7" s="186">
        <f t="shared" si="0"/>
        <v>5</v>
      </c>
      <c r="C7" s="452">
        <v>43889</v>
      </c>
      <c r="D7" s="155" t="s">
        <v>196</v>
      </c>
      <c r="E7" s="75" t="s">
        <v>182</v>
      </c>
      <c r="F7" s="75" t="s">
        <v>197</v>
      </c>
      <c r="G7" s="75" t="s">
        <v>199</v>
      </c>
    </row>
    <row r="8" spans="2:7" ht="30">
      <c r="B8" s="186">
        <f t="shared" si="0"/>
        <v>6</v>
      </c>
      <c r="C8" s="452">
        <v>43889</v>
      </c>
      <c r="D8" s="155" t="s">
        <v>196</v>
      </c>
      <c r="E8" s="75" t="s">
        <v>184</v>
      </c>
      <c r="F8" s="187" t="s">
        <v>203</v>
      </c>
      <c r="G8" s="75" t="s">
        <v>205</v>
      </c>
    </row>
    <row r="9" spans="2:7">
      <c r="B9" s="186">
        <f t="shared" si="0"/>
        <v>7</v>
      </c>
      <c r="C9" s="452">
        <v>43889</v>
      </c>
      <c r="D9" s="155" t="s">
        <v>196</v>
      </c>
      <c r="E9" s="75" t="s">
        <v>192</v>
      </c>
      <c r="F9" s="75" t="s">
        <v>204</v>
      </c>
      <c r="G9" s="75" t="s">
        <v>206</v>
      </c>
    </row>
    <row r="10" spans="2:7" ht="75">
      <c r="B10" s="186">
        <f t="shared" si="0"/>
        <v>8</v>
      </c>
      <c r="C10" s="452">
        <v>43906</v>
      </c>
      <c r="D10" s="155" t="s">
        <v>196</v>
      </c>
      <c r="E10" s="75" t="s">
        <v>184</v>
      </c>
      <c r="F10" s="187" t="s">
        <v>245</v>
      </c>
      <c r="G10" s="75" t="s">
        <v>246</v>
      </c>
    </row>
    <row r="11" spans="2:7" ht="45">
      <c r="B11" s="186">
        <f t="shared" si="0"/>
        <v>9</v>
      </c>
      <c r="C11" s="452">
        <v>43906</v>
      </c>
      <c r="D11" s="155" t="s">
        <v>196</v>
      </c>
      <c r="E11" s="75" t="s">
        <v>182</v>
      </c>
      <c r="F11" s="187" t="s">
        <v>253</v>
      </c>
      <c r="G11" s="75" t="s">
        <v>247</v>
      </c>
    </row>
    <row r="12" spans="2:7" ht="90">
      <c r="B12" s="186">
        <f t="shared" si="0"/>
        <v>10</v>
      </c>
      <c r="C12" s="452">
        <v>43906</v>
      </c>
      <c r="D12" s="155" t="s">
        <v>196</v>
      </c>
      <c r="E12" s="75" t="s">
        <v>192</v>
      </c>
      <c r="F12" s="187" t="s">
        <v>254</v>
      </c>
      <c r="G12" s="75" t="s">
        <v>362</v>
      </c>
    </row>
    <row r="13" spans="2:7">
      <c r="B13" s="186">
        <f t="shared" si="0"/>
        <v>11</v>
      </c>
      <c r="C13" s="452">
        <v>43938</v>
      </c>
      <c r="D13" s="155" t="s">
        <v>281</v>
      </c>
      <c r="E13" s="75" t="s">
        <v>182</v>
      </c>
      <c r="F13" s="75" t="s">
        <v>344</v>
      </c>
      <c r="G13" s="75" t="s">
        <v>343</v>
      </c>
    </row>
    <row r="14" spans="2:7">
      <c r="B14" s="186">
        <f t="shared" si="0"/>
        <v>12</v>
      </c>
      <c r="C14" s="452">
        <v>43962</v>
      </c>
      <c r="D14" s="155" t="s">
        <v>281</v>
      </c>
      <c r="E14" s="75" t="s">
        <v>184</v>
      </c>
      <c r="F14" s="187" t="s">
        <v>492</v>
      </c>
      <c r="G14" s="75" t="s">
        <v>343</v>
      </c>
    </row>
    <row r="15" spans="2:7" ht="30">
      <c r="B15" s="186">
        <f t="shared" si="0"/>
        <v>13</v>
      </c>
      <c r="C15" s="452">
        <v>43964</v>
      </c>
      <c r="D15" s="155" t="s">
        <v>281</v>
      </c>
      <c r="E15" s="75" t="s">
        <v>494</v>
      </c>
      <c r="F15" s="187" t="s">
        <v>493</v>
      </c>
      <c r="G15" s="75" t="s">
        <v>363</v>
      </c>
    </row>
    <row r="16" spans="2:7">
      <c r="B16" s="186">
        <f t="shared" si="0"/>
        <v>14</v>
      </c>
      <c r="C16" s="452">
        <v>43964</v>
      </c>
      <c r="D16" s="155" t="s">
        <v>281</v>
      </c>
      <c r="E16" s="75" t="s">
        <v>182</v>
      </c>
      <c r="F16" s="75" t="s">
        <v>360</v>
      </c>
      <c r="G16" s="75" t="s">
        <v>363</v>
      </c>
    </row>
    <row r="17" spans="2:7">
      <c r="B17" s="186">
        <f t="shared" si="0"/>
        <v>15</v>
      </c>
      <c r="C17" s="452">
        <v>43964</v>
      </c>
      <c r="D17" s="155" t="s">
        <v>281</v>
      </c>
      <c r="E17" s="75" t="s">
        <v>192</v>
      </c>
      <c r="F17" s="75" t="s">
        <v>361</v>
      </c>
      <c r="G17" s="75" t="s">
        <v>363</v>
      </c>
    </row>
    <row r="18" spans="2:7">
      <c r="B18" s="186">
        <f t="shared" si="0"/>
        <v>16</v>
      </c>
      <c r="C18" s="452">
        <v>43965</v>
      </c>
      <c r="D18" s="155" t="s">
        <v>365</v>
      </c>
      <c r="E18" s="75" t="s">
        <v>184</v>
      </c>
      <c r="F18" s="75" t="s">
        <v>372</v>
      </c>
      <c r="G18" s="75" t="s">
        <v>366</v>
      </c>
    </row>
    <row r="19" spans="2:7">
      <c r="B19" s="186">
        <f t="shared" si="0"/>
        <v>17</v>
      </c>
      <c r="C19" s="452">
        <v>43966</v>
      </c>
      <c r="D19" s="155" t="s">
        <v>196</v>
      </c>
      <c r="E19" s="75" t="s">
        <v>184</v>
      </c>
      <c r="F19" s="75" t="s">
        <v>373</v>
      </c>
      <c r="G19" s="75" t="s">
        <v>374</v>
      </c>
    </row>
    <row r="20" spans="2:7">
      <c r="B20" s="186">
        <f t="shared" si="0"/>
        <v>18</v>
      </c>
      <c r="C20" s="452">
        <v>43970</v>
      </c>
      <c r="D20" s="155" t="s">
        <v>196</v>
      </c>
      <c r="E20" s="75" t="s">
        <v>184</v>
      </c>
      <c r="F20" s="75" t="s">
        <v>481</v>
      </c>
      <c r="G20" s="75" t="s">
        <v>482</v>
      </c>
    </row>
    <row r="21" spans="2:7" ht="30">
      <c r="B21" s="186">
        <f t="shared" si="0"/>
        <v>19</v>
      </c>
      <c r="C21" s="452">
        <v>43970</v>
      </c>
      <c r="D21" s="155" t="s">
        <v>196</v>
      </c>
      <c r="E21" s="75" t="s">
        <v>184</v>
      </c>
      <c r="F21" s="187" t="s">
        <v>490</v>
      </c>
      <c r="G21" s="75" t="s">
        <v>486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E11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8.83203125" defaultRowHeight="14"/>
  <cols>
    <col min="1" max="1" width="7.5" style="271" bestFit="1" customWidth="1"/>
    <col min="2" max="2" width="8.33203125" style="17" customWidth="1"/>
    <col min="3" max="3" width="7.83203125" style="17" bestFit="1" customWidth="1"/>
    <col min="4" max="4" width="6.5" style="18" customWidth="1"/>
    <col min="5" max="5" width="6.6640625" style="18" hidden="1" customWidth="1"/>
    <col min="6" max="6" width="0" style="18" hidden="1" customWidth="1"/>
    <col min="7" max="7" width="7.83203125" style="18" hidden="1" customWidth="1"/>
    <col min="8" max="8" width="8.83203125" style="17"/>
    <col min="9" max="9" width="15.1640625" style="17" customWidth="1"/>
    <col min="10" max="10" width="18.33203125" style="18" bestFit="1" customWidth="1"/>
    <col min="11" max="11" width="5.5" style="18" hidden="1" customWidth="1"/>
    <col min="12" max="12" width="8.83203125" style="18" hidden="1" customWidth="1"/>
    <col min="13" max="13" width="19.1640625" style="18" bestFit="1" customWidth="1"/>
    <col min="14" max="14" width="7" style="18" hidden="1" customWidth="1"/>
    <col min="15" max="15" width="8.1640625" style="18" hidden="1" customWidth="1"/>
    <col min="16" max="16" width="17.6640625" style="192" customWidth="1"/>
    <col min="17" max="17" width="16.33203125" style="192" customWidth="1"/>
    <col min="18" max="18" width="12.6640625" style="18" customWidth="1"/>
    <col min="19" max="19" width="13.33203125" style="18" customWidth="1"/>
    <col min="20" max="20" width="12.1640625" style="160" bestFit="1" customWidth="1"/>
    <col min="21" max="21" width="10.6640625" style="160" customWidth="1"/>
    <col min="22" max="22" width="7.6640625" style="21" bestFit="1" customWidth="1"/>
    <col min="23" max="24" width="6.6640625" style="18" bestFit="1" customWidth="1"/>
    <col min="25" max="25" width="12.6640625" style="18" customWidth="1"/>
    <col min="26" max="26" width="14.1640625" style="18" customWidth="1"/>
    <col min="27" max="29" width="8.83203125" style="18"/>
    <col min="30" max="30" width="7.1640625" style="18" bestFit="1" customWidth="1"/>
    <col min="31" max="31" width="7.6640625" style="160" bestFit="1" customWidth="1"/>
    <col min="32" max="32" width="10.83203125" style="21" hidden="1" customWidth="1"/>
    <col min="33" max="33" width="15" style="18" bestFit="1" customWidth="1"/>
    <col min="34" max="35" width="12.6640625" style="18" customWidth="1"/>
    <col min="36" max="37" width="8.83203125" style="18"/>
    <col min="38" max="38" width="12.33203125" style="18" bestFit="1" customWidth="1"/>
    <col min="39" max="39" width="7.1640625" style="18" bestFit="1" customWidth="1"/>
    <col min="40" max="40" width="7.6640625" style="160" bestFit="1" customWidth="1"/>
    <col min="41" max="41" width="6.6640625" style="17" bestFit="1" customWidth="1"/>
    <col min="42" max="42" width="12.6640625" style="18" customWidth="1"/>
    <col min="43" max="43" width="14.1640625" style="18" customWidth="1"/>
    <col min="44" max="44" width="7.1640625" style="18" bestFit="1" customWidth="1"/>
    <col min="45" max="45" width="9.1640625" style="18" bestFit="1" customWidth="1"/>
    <col min="46" max="46" width="12.33203125" style="18" bestFit="1" customWidth="1"/>
    <col min="47" max="47" width="7.1640625" style="18" bestFit="1" customWidth="1"/>
    <col min="48" max="16384" width="8.83203125" style="18"/>
  </cols>
  <sheetData>
    <row r="1" spans="1:47" ht="9.75" customHeight="1" thickBot="1">
      <c r="A1" s="271">
        <v>1</v>
      </c>
      <c r="B1" s="17">
        <f t="shared" ref="B1:AD1" si="0">A1+1</f>
        <v>2</v>
      </c>
      <c r="C1" s="17">
        <f t="shared" si="0"/>
        <v>3</v>
      </c>
      <c r="D1" s="17">
        <f t="shared" si="0"/>
        <v>4</v>
      </c>
      <c r="E1" s="17">
        <f t="shared" si="0"/>
        <v>5</v>
      </c>
      <c r="F1" s="17">
        <f t="shared" si="0"/>
        <v>6</v>
      </c>
      <c r="G1" s="17">
        <f t="shared" si="0"/>
        <v>7</v>
      </c>
      <c r="H1" s="17">
        <f t="shared" si="0"/>
        <v>8</v>
      </c>
      <c r="I1" s="17">
        <f t="shared" si="0"/>
        <v>9</v>
      </c>
      <c r="J1" s="17">
        <f t="shared" si="0"/>
        <v>10</v>
      </c>
      <c r="K1" s="17">
        <f t="shared" si="0"/>
        <v>11</v>
      </c>
      <c r="L1" s="17">
        <f t="shared" si="0"/>
        <v>12</v>
      </c>
      <c r="M1" s="17">
        <f t="shared" si="0"/>
        <v>13</v>
      </c>
      <c r="N1" s="17">
        <f t="shared" si="0"/>
        <v>14</v>
      </c>
      <c r="O1" s="17">
        <f t="shared" si="0"/>
        <v>15</v>
      </c>
      <c r="P1" s="17">
        <f t="shared" si="0"/>
        <v>16</v>
      </c>
      <c r="Q1" s="17">
        <f t="shared" si="0"/>
        <v>17</v>
      </c>
      <c r="R1" s="17">
        <f t="shared" si="0"/>
        <v>18</v>
      </c>
      <c r="S1" s="17">
        <f t="shared" si="0"/>
        <v>19</v>
      </c>
      <c r="T1" s="17">
        <f t="shared" si="0"/>
        <v>20</v>
      </c>
      <c r="U1" s="17">
        <f t="shared" si="0"/>
        <v>21</v>
      </c>
      <c r="V1" s="17">
        <f t="shared" si="0"/>
        <v>22</v>
      </c>
      <c r="W1" s="17">
        <f t="shared" si="0"/>
        <v>23</v>
      </c>
      <c r="X1" s="17">
        <f t="shared" si="0"/>
        <v>24</v>
      </c>
      <c r="Y1" s="17">
        <f t="shared" si="0"/>
        <v>25</v>
      </c>
      <c r="Z1" s="17">
        <f t="shared" si="0"/>
        <v>26</v>
      </c>
      <c r="AA1" s="17">
        <f t="shared" si="0"/>
        <v>27</v>
      </c>
      <c r="AB1" s="17">
        <f t="shared" si="0"/>
        <v>28</v>
      </c>
      <c r="AC1" s="17">
        <f t="shared" si="0"/>
        <v>29</v>
      </c>
      <c r="AD1" s="17">
        <f t="shared" si="0"/>
        <v>30</v>
      </c>
      <c r="AE1" s="17">
        <f t="shared" ref="AE1:AU1" si="1">AD1+1</f>
        <v>31</v>
      </c>
      <c r="AF1" s="17">
        <f t="shared" si="1"/>
        <v>32</v>
      </c>
      <c r="AG1" s="17">
        <f t="shared" si="1"/>
        <v>33</v>
      </c>
      <c r="AH1" s="17">
        <f t="shared" si="1"/>
        <v>34</v>
      </c>
      <c r="AI1" s="17">
        <f t="shared" si="1"/>
        <v>35</v>
      </c>
      <c r="AJ1" s="17">
        <f t="shared" si="1"/>
        <v>36</v>
      </c>
      <c r="AK1" s="17">
        <f t="shared" si="1"/>
        <v>37</v>
      </c>
      <c r="AL1" s="17">
        <f t="shared" si="1"/>
        <v>38</v>
      </c>
      <c r="AM1" s="17">
        <f t="shared" si="1"/>
        <v>39</v>
      </c>
      <c r="AN1" s="17">
        <f t="shared" si="1"/>
        <v>40</v>
      </c>
      <c r="AO1" s="17">
        <f t="shared" si="1"/>
        <v>41</v>
      </c>
      <c r="AP1" s="17">
        <f t="shared" si="1"/>
        <v>42</v>
      </c>
      <c r="AQ1" s="17">
        <f t="shared" si="1"/>
        <v>43</v>
      </c>
      <c r="AR1" s="17">
        <f t="shared" si="1"/>
        <v>44</v>
      </c>
      <c r="AS1" s="17">
        <f t="shared" si="1"/>
        <v>45</v>
      </c>
      <c r="AT1" s="17">
        <f t="shared" si="1"/>
        <v>46</v>
      </c>
      <c r="AU1" s="17">
        <f t="shared" si="1"/>
        <v>47</v>
      </c>
    </row>
    <row r="2" spans="1:47" ht="36" customHeight="1">
      <c r="A2" s="408" t="s">
        <v>336</v>
      </c>
      <c r="B2" s="410" t="s">
        <v>170</v>
      </c>
      <c r="C2" s="410" t="s">
        <v>53</v>
      </c>
      <c r="D2" s="410" t="s">
        <v>64</v>
      </c>
      <c r="E2" s="177"/>
      <c r="F2" s="410" t="s">
        <v>10</v>
      </c>
      <c r="G2" s="410" t="s">
        <v>4</v>
      </c>
      <c r="H2" s="410" t="s">
        <v>3</v>
      </c>
      <c r="I2" s="425" t="s">
        <v>169</v>
      </c>
      <c r="J2" s="421" t="s">
        <v>7</v>
      </c>
      <c r="K2" s="421"/>
      <c r="L2" s="421"/>
      <c r="M2" s="421"/>
      <c r="N2" s="19"/>
      <c r="O2" s="20"/>
      <c r="P2" s="422" t="s">
        <v>34</v>
      </c>
      <c r="Q2" s="423"/>
      <c r="R2" s="430" t="s">
        <v>33</v>
      </c>
      <c r="S2" s="431"/>
      <c r="T2" s="428" t="s">
        <v>35</v>
      </c>
      <c r="U2" s="432" t="s">
        <v>96</v>
      </c>
      <c r="V2" s="426" t="s">
        <v>147</v>
      </c>
      <c r="W2" s="426"/>
      <c r="X2" s="426"/>
      <c r="Y2" s="426"/>
      <c r="Z2" s="426"/>
      <c r="AA2" s="426"/>
      <c r="AB2" s="426"/>
      <c r="AC2" s="426"/>
      <c r="AD2" s="426"/>
      <c r="AE2" s="427" t="s">
        <v>148</v>
      </c>
      <c r="AF2" s="427"/>
      <c r="AG2" s="427"/>
      <c r="AH2" s="427"/>
      <c r="AI2" s="427"/>
      <c r="AJ2" s="427"/>
      <c r="AK2" s="427"/>
      <c r="AL2" s="427"/>
      <c r="AM2" s="427"/>
      <c r="AN2" s="417" t="s">
        <v>149</v>
      </c>
      <c r="AO2" s="417"/>
      <c r="AP2" s="417"/>
      <c r="AQ2" s="417"/>
      <c r="AR2" s="417"/>
      <c r="AS2" s="417"/>
      <c r="AT2" s="417"/>
      <c r="AU2" s="417"/>
    </row>
    <row r="3" spans="1:47" ht="27" customHeight="1" thickBot="1">
      <c r="A3" s="409"/>
      <c r="B3" s="411"/>
      <c r="C3" s="424"/>
      <c r="D3" s="424"/>
      <c r="E3" s="178"/>
      <c r="F3" s="411"/>
      <c r="G3" s="411"/>
      <c r="H3" s="411"/>
      <c r="I3" s="411"/>
      <c r="J3" s="178" t="s">
        <v>5</v>
      </c>
      <c r="K3" s="178" t="s">
        <v>27</v>
      </c>
      <c r="L3" s="178"/>
      <c r="M3" s="178" t="s">
        <v>6</v>
      </c>
      <c r="N3" s="59" t="s">
        <v>28</v>
      </c>
      <c r="O3" s="60"/>
      <c r="P3" s="61" t="s">
        <v>31</v>
      </c>
      <c r="Q3" s="61" t="s">
        <v>32</v>
      </c>
      <c r="R3" s="61" t="s">
        <v>31</v>
      </c>
      <c r="S3" s="61" t="s">
        <v>32</v>
      </c>
      <c r="T3" s="429"/>
      <c r="U3" s="433"/>
      <c r="V3" s="179" t="s">
        <v>81</v>
      </c>
      <c r="W3" s="179" t="s">
        <v>82</v>
      </c>
      <c r="X3" s="179" t="s">
        <v>83</v>
      </c>
      <c r="Y3" s="179" t="s">
        <v>85</v>
      </c>
      <c r="Z3" s="179" t="s">
        <v>84</v>
      </c>
      <c r="AA3" s="179" t="s">
        <v>86</v>
      </c>
      <c r="AB3" s="179" t="s">
        <v>87</v>
      </c>
      <c r="AC3" s="182" t="s">
        <v>178</v>
      </c>
      <c r="AD3" s="180" t="s">
        <v>144</v>
      </c>
      <c r="AE3" s="145" t="s">
        <v>81</v>
      </c>
      <c r="AF3" s="145"/>
      <c r="AG3" s="145" t="s">
        <v>249</v>
      </c>
      <c r="AH3" s="145" t="s">
        <v>69</v>
      </c>
      <c r="AI3" s="145" t="s">
        <v>70</v>
      </c>
      <c r="AJ3" s="145" t="s">
        <v>250</v>
      </c>
      <c r="AK3" s="145" t="s">
        <v>251</v>
      </c>
      <c r="AL3" s="145" t="s">
        <v>252</v>
      </c>
      <c r="AM3" s="146" t="s">
        <v>145</v>
      </c>
      <c r="AN3" s="147" t="s">
        <v>81</v>
      </c>
      <c r="AO3" s="147" t="s">
        <v>150</v>
      </c>
      <c r="AP3" s="147" t="s">
        <v>69</v>
      </c>
      <c r="AQ3" s="147" t="s">
        <v>70</v>
      </c>
      <c r="AR3" s="147" t="s">
        <v>342</v>
      </c>
      <c r="AS3" s="147" t="s">
        <v>151</v>
      </c>
      <c r="AT3" s="147" t="s">
        <v>152</v>
      </c>
      <c r="AU3" s="148" t="s">
        <v>144</v>
      </c>
    </row>
    <row r="4" spans="1:47" ht="19.5" customHeight="1" thickBot="1">
      <c r="A4" s="403" t="s">
        <v>0</v>
      </c>
      <c r="B4" s="404"/>
      <c r="C4" s="404"/>
      <c r="D4" s="404"/>
      <c r="E4" s="404"/>
      <c r="F4" s="404"/>
      <c r="G4" s="404"/>
      <c r="H4" s="404"/>
      <c r="I4" s="404"/>
      <c r="J4" s="404"/>
      <c r="K4" s="404"/>
      <c r="L4" s="404"/>
      <c r="M4" s="404"/>
      <c r="N4" s="405"/>
      <c r="O4" s="405"/>
      <c r="P4" s="405"/>
      <c r="Q4" s="405"/>
      <c r="R4" s="405"/>
      <c r="S4" s="405"/>
      <c r="T4" s="405"/>
      <c r="U4" s="405"/>
      <c r="V4" s="405"/>
      <c r="W4" s="405"/>
      <c r="X4" s="405"/>
      <c r="Y4" s="405"/>
      <c r="Z4" s="405"/>
      <c r="AA4" s="405"/>
      <c r="AB4" s="405"/>
      <c r="AC4" s="405"/>
      <c r="AD4" s="405"/>
      <c r="AE4" s="405"/>
      <c r="AF4" s="405"/>
      <c r="AG4" s="405"/>
      <c r="AH4" s="405"/>
      <c r="AI4" s="405"/>
      <c r="AJ4" s="405"/>
      <c r="AK4" s="405"/>
      <c r="AL4" s="405"/>
      <c r="AM4" s="405"/>
      <c r="AN4" s="405"/>
      <c r="AO4" s="405"/>
      <c r="AP4" s="405"/>
      <c r="AQ4" s="405"/>
      <c r="AR4" s="405"/>
      <c r="AS4" s="405"/>
      <c r="AT4" s="405"/>
      <c r="AU4" s="406"/>
    </row>
    <row r="5" spans="1:47">
      <c r="A5" s="272">
        <v>3</v>
      </c>
      <c r="B5" s="156" t="s">
        <v>171</v>
      </c>
      <c r="C5" s="156" t="s">
        <v>62</v>
      </c>
      <c r="D5" s="157">
        <v>2</v>
      </c>
      <c r="E5" s="157"/>
      <c r="F5" s="157">
        <v>3</v>
      </c>
      <c r="G5" s="157">
        <v>0</v>
      </c>
      <c r="H5" s="156" t="s">
        <v>61</v>
      </c>
      <c r="I5" s="156" t="s">
        <v>61</v>
      </c>
      <c r="J5" s="158">
        <v>58968.021898984</v>
      </c>
      <c r="K5" s="157">
        <v>-11238.055626654561</v>
      </c>
      <c r="L5" s="157"/>
      <c r="M5" s="158">
        <v>-11238.055626654561</v>
      </c>
      <c r="N5" s="157"/>
      <c r="O5" s="157"/>
      <c r="P5" s="193">
        <v>333154.02075000003</v>
      </c>
      <c r="Q5" s="194">
        <v>1332244.4137599999</v>
      </c>
      <c r="R5" s="122">
        <f t="shared" ref="R5:R12" si="2">LEFT(P5,2)+MID(P5,3,2)/60+MID(P5,5,8)/3600</f>
        <v>33.531672430555552</v>
      </c>
      <c r="S5" s="122">
        <f t="shared" ref="S5:S12" si="3">LEFT(Q5,3)+MID(Q5,4,2)/60+MID(Q5,6,8)/3600</f>
        <v>133.37900382222222</v>
      </c>
      <c r="T5" s="161"/>
      <c r="U5" s="161"/>
      <c r="V5" s="122" t="s">
        <v>146</v>
      </c>
      <c r="W5" s="122"/>
      <c r="X5" s="122"/>
      <c r="Y5" s="122"/>
      <c r="Z5" s="122"/>
      <c r="AA5" s="122"/>
      <c r="AB5" s="159"/>
      <c r="AC5" s="159"/>
      <c r="AD5" s="131" t="s">
        <v>129</v>
      </c>
      <c r="AE5" s="170" t="s">
        <v>141</v>
      </c>
      <c r="AF5" s="125" t="s">
        <v>141</v>
      </c>
      <c r="AG5" s="126" t="s">
        <v>141</v>
      </c>
      <c r="AH5" s="135" t="s">
        <v>142</v>
      </c>
      <c r="AI5" s="135" t="s">
        <v>141</v>
      </c>
      <c r="AJ5" s="135" t="s">
        <v>141</v>
      </c>
      <c r="AK5" s="136" t="s">
        <v>141</v>
      </c>
      <c r="AL5" s="137" t="s">
        <v>141</v>
      </c>
      <c r="AM5" s="131" t="s">
        <v>129</v>
      </c>
      <c r="AN5" s="131" t="s">
        <v>146</v>
      </c>
      <c r="AO5" s="327"/>
      <c r="AP5" s="122"/>
      <c r="AQ5" s="122"/>
      <c r="AR5" s="122"/>
      <c r="AS5" s="122"/>
      <c r="AT5" s="159"/>
      <c r="AU5" s="131" t="s">
        <v>129</v>
      </c>
    </row>
    <row r="6" spans="1:47" ht="30">
      <c r="A6" s="273">
        <v>8</v>
      </c>
      <c r="B6" s="155" t="s">
        <v>240</v>
      </c>
      <c r="C6" s="83" t="s">
        <v>54</v>
      </c>
      <c r="D6" s="84">
        <v>1</v>
      </c>
      <c r="E6" s="85"/>
      <c r="F6" s="85">
        <v>8</v>
      </c>
      <c r="G6" s="85">
        <v>0</v>
      </c>
      <c r="H6" s="83">
        <v>106</v>
      </c>
      <c r="I6" s="83" t="s">
        <v>116</v>
      </c>
      <c r="J6" s="86">
        <v>58966.585840452462</v>
      </c>
      <c r="K6" s="87">
        <v>58966585.840452462</v>
      </c>
      <c r="L6" s="87">
        <v>58970128</v>
      </c>
      <c r="M6" s="86">
        <v>-11233.265725134037</v>
      </c>
      <c r="N6" s="88">
        <v>-11233265.725134037</v>
      </c>
      <c r="O6" s="87">
        <v>-11232214</v>
      </c>
      <c r="P6" s="195">
        <v>333153.97431000002</v>
      </c>
      <c r="Q6" s="195">
        <v>1332244.5994899999</v>
      </c>
      <c r="R6" s="89">
        <f t="shared" ref="R6" si="4">LEFT(P6,2)+MID(P6,3,2)/60+MID(P6,5,8)/3600</f>
        <v>33.531659530555558</v>
      </c>
      <c r="S6" s="89">
        <f t="shared" ref="S6" si="5">LEFT(Q6,3)+MID(Q6,4,2)/60+MID(Q6,6,8)/3600</f>
        <v>133.37905541388889</v>
      </c>
      <c r="T6" s="162" t="s">
        <v>172</v>
      </c>
      <c r="U6" s="167">
        <v>0</v>
      </c>
      <c r="V6" s="73" t="s">
        <v>146</v>
      </c>
      <c r="W6" s="23"/>
      <c r="X6" s="23"/>
      <c r="Y6" s="23"/>
      <c r="Z6" s="23"/>
      <c r="AA6" s="23"/>
      <c r="AB6" s="71"/>
      <c r="AC6" s="71"/>
      <c r="AD6" s="70" t="s">
        <v>129</v>
      </c>
      <c r="AE6" s="224" t="str">
        <f>"a"&amp;U6</f>
        <v>a0</v>
      </c>
      <c r="AF6" s="225" t="str">
        <f>LOWER(I6)</f>
        <v>e0acf1ad7d48</v>
      </c>
      <c r="AG6" s="89" t="str">
        <f>MID(AF6,1,2)&amp;":"&amp;MID(AF6,3,2)&amp;":"&amp;MID(AF6,5,2)&amp;":"&amp;MID(AF6,7,2)&amp;":"&amp;MID(AF6,9,2)&amp;":"&amp;MID(AF6,11,2)</f>
        <v>e0:ac:f1:ad:7d:48</v>
      </c>
      <c r="AH6" s="89">
        <f>S6</f>
        <v>133.37905541388889</v>
      </c>
      <c r="AI6" s="89">
        <f>R6</f>
        <v>33.531659530555558</v>
      </c>
      <c r="AJ6" s="89">
        <v>0</v>
      </c>
      <c r="AK6" s="226">
        <v>-75</v>
      </c>
      <c r="AL6" s="226" t="s">
        <v>130</v>
      </c>
      <c r="AM6" s="155" t="s">
        <v>241</v>
      </c>
      <c r="AN6" s="172">
        <f>U6</f>
        <v>0</v>
      </c>
      <c r="AO6" s="329" t="s">
        <v>153</v>
      </c>
      <c r="AP6" s="173">
        <f>AH6</f>
        <v>133.37905541388889</v>
      </c>
      <c r="AQ6" s="173">
        <f>AI6</f>
        <v>33.531659530555558</v>
      </c>
      <c r="AR6" s="173">
        <v>15</v>
      </c>
      <c r="AS6" s="173" t="s">
        <v>154</v>
      </c>
      <c r="AT6" s="174">
        <f>AN7</f>
        <v>1</v>
      </c>
      <c r="AU6" s="155" t="s">
        <v>241</v>
      </c>
    </row>
    <row r="7" spans="1:47">
      <c r="A7" s="390">
        <v>50</v>
      </c>
      <c r="B7" s="155" t="s">
        <v>240</v>
      </c>
      <c r="C7" s="24" t="s">
        <v>62</v>
      </c>
      <c r="D7" s="25">
        <v>3</v>
      </c>
      <c r="E7" s="25"/>
      <c r="F7" s="25">
        <v>50</v>
      </c>
      <c r="G7" s="25">
        <v>0</v>
      </c>
      <c r="H7" s="24" t="s">
        <v>63</v>
      </c>
      <c r="I7" s="24" t="s">
        <v>63</v>
      </c>
      <c r="J7" s="26">
        <v>58954.524256357268</v>
      </c>
      <c r="K7" s="25"/>
      <c r="L7" s="25"/>
      <c r="M7" s="26">
        <v>-11193.034913694115</v>
      </c>
      <c r="N7" s="25"/>
      <c r="O7" s="25"/>
      <c r="P7" s="196">
        <v>333153.58429999999</v>
      </c>
      <c r="Q7" s="197">
        <v>1332246.15937</v>
      </c>
      <c r="R7" s="27">
        <f t="shared" si="2"/>
        <v>33.531551194444447</v>
      </c>
      <c r="S7" s="27">
        <f t="shared" si="3"/>
        <v>133.37948871388889</v>
      </c>
      <c r="T7" s="392" t="s">
        <v>36</v>
      </c>
      <c r="U7" s="392">
        <v>1</v>
      </c>
      <c r="V7" s="35" t="s">
        <v>88</v>
      </c>
      <c r="W7" s="35">
        <v>1</v>
      </c>
      <c r="X7" s="35">
        <f>D7</f>
        <v>3</v>
      </c>
      <c r="Y7" s="27">
        <f>S7</f>
        <v>133.37948871388889</v>
      </c>
      <c r="Z7" s="27">
        <f>R7</f>
        <v>33.531551194444447</v>
      </c>
      <c r="AA7" s="35">
        <v>-10</v>
      </c>
      <c r="AB7" s="72">
        <v>-80</v>
      </c>
      <c r="AC7" s="181" t="s">
        <v>174</v>
      </c>
      <c r="AD7" s="155" t="s">
        <v>240</v>
      </c>
      <c r="AE7" s="165" t="s">
        <v>141</v>
      </c>
      <c r="AF7" s="125" t="s">
        <v>141</v>
      </c>
      <c r="AG7" s="126" t="s">
        <v>141</v>
      </c>
      <c r="AH7" s="127" t="s">
        <v>142</v>
      </c>
      <c r="AI7" s="127" t="s">
        <v>141</v>
      </c>
      <c r="AJ7" s="127" t="s">
        <v>141</v>
      </c>
      <c r="AK7" s="128" t="s">
        <v>141</v>
      </c>
      <c r="AL7" s="129" t="s">
        <v>141</v>
      </c>
      <c r="AM7" s="70" t="s">
        <v>129</v>
      </c>
      <c r="AN7" s="380">
        <f>U7</f>
        <v>1</v>
      </c>
      <c r="AO7" s="380" t="s">
        <v>153</v>
      </c>
      <c r="AP7" s="382">
        <f>Y7</f>
        <v>133.37948871388889</v>
      </c>
      <c r="AQ7" s="382">
        <f>Z7</f>
        <v>33.531551194444447</v>
      </c>
      <c r="AR7" s="382">
        <v>15</v>
      </c>
      <c r="AS7" s="384" t="s">
        <v>154</v>
      </c>
      <c r="AT7" s="384" t="str">
        <f>AN6&amp;","&amp;AN9</f>
        <v>0,2</v>
      </c>
      <c r="AU7" s="416" t="s">
        <v>241</v>
      </c>
    </row>
    <row r="8" spans="1:47">
      <c r="A8" s="391"/>
      <c r="B8" s="155" t="s">
        <v>240</v>
      </c>
      <c r="C8" s="24" t="s">
        <v>62</v>
      </c>
      <c r="D8" s="25">
        <v>4</v>
      </c>
      <c r="E8" s="25"/>
      <c r="F8" s="25">
        <v>50</v>
      </c>
      <c r="G8" s="25">
        <v>0</v>
      </c>
      <c r="H8" s="24" t="s">
        <v>63</v>
      </c>
      <c r="I8" s="24" t="s">
        <v>63</v>
      </c>
      <c r="J8" s="26">
        <v>58954.524256357268</v>
      </c>
      <c r="K8" s="25"/>
      <c r="L8" s="25"/>
      <c r="M8" s="26">
        <v>-11193.034913694115</v>
      </c>
      <c r="N8" s="25"/>
      <c r="O8" s="25"/>
      <c r="P8" s="196">
        <v>333153.58429999999</v>
      </c>
      <c r="Q8" s="197">
        <v>1332246.15937</v>
      </c>
      <c r="R8" s="27">
        <f t="shared" si="2"/>
        <v>33.531551194444447</v>
      </c>
      <c r="S8" s="27">
        <f t="shared" si="3"/>
        <v>133.37948871388889</v>
      </c>
      <c r="T8" s="393"/>
      <c r="U8" s="393"/>
      <c r="V8" s="27" t="s">
        <v>89</v>
      </c>
      <c r="W8" s="27">
        <v>1</v>
      </c>
      <c r="X8" s="35">
        <f>D8</f>
        <v>4</v>
      </c>
      <c r="Y8" s="27">
        <f>S8</f>
        <v>133.37948871388889</v>
      </c>
      <c r="Z8" s="27">
        <f>R8</f>
        <v>33.531551194444447</v>
      </c>
      <c r="AA8" s="35">
        <v>-10</v>
      </c>
      <c r="AB8" s="72">
        <v>-80</v>
      </c>
      <c r="AC8" s="181" t="s">
        <v>174</v>
      </c>
      <c r="AD8" s="155" t="s">
        <v>240</v>
      </c>
      <c r="AE8" s="165" t="s">
        <v>141</v>
      </c>
      <c r="AF8" s="125" t="s">
        <v>141</v>
      </c>
      <c r="AG8" s="126" t="s">
        <v>141</v>
      </c>
      <c r="AH8" s="127" t="s">
        <v>142</v>
      </c>
      <c r="AI8" s="127" t="s">
        <v>141</v>
      </c>
      <c r="AJ8" s="127" t="s">
        <v>141</v>
      </c>
      <c r="AK8" s="128" t="s">
        <v>141</v>
      </c>
      <c r="AL8" s="129" t="s">
        <v>141</v>
      </c>
      <c r="AM8" s="70" t="s">
        <v>129</v>
      </c>
      <c r="AN8" s="381"/>
      <c r="AO8" s="381"/>
      <c r="AP8" s="383"/>
      <c r="AQ8" s="383"/>
      <c r="AR8" s="383"/>
      <c r="AS8" s="385"/>
      <c r="AT8" s="385"/>
      <c r="AU8" s="387"/>
    </row>
    <row r="9" spans="1:47">
      <c r="A9" s="273">
        <v>106.43</v>
      </c>
      <c r="B9" s="155" t="s">
        <v>240</v>
      </c>
      <c r="C9" s="83" t="s">
        <v>54</v>
      </c>
      <c r="D9" s="84">
        <v>2</v>
      </c>
      <c r="E9" s="85"/>
      <c r="F9" s="90">
        <v>106.43</v>
      </c>
      <c r="G9" s="85">
        <v>0</v>
      </c>
      <c r="H9" s="83">
        <v>107</v>
      </c>
      <c r="I9" s="83" t="s">
        <v>117</v>
      </c>
      <c r="J9" s="86">
        <v>58942.998156967798</v>
      </c>
      <c r="K9" s="87">
        <v>58942998.156967796</v>
      </c>
      <c r="L9" s="87">
        <v>58946695.038094319</v>
      </c>
      <c r="M9" s="86">
        <v>-11138.10792448207</v>
      </c>
      <c r="N9" s="88">
        <v>-11138107.92448207</v>
      </c>
      <c r="O9" s="87">
        <v>-11138259.812389489</v>
      </c>
      <c r="P9" s="195">
        <v>333153.21221999999</v>
      </c>
      <c r="Q9" s="195">
        <v>1332248.2888400001</v>
      </c>
      <c r="R9" s="89">
        <f t="shared" si="2"/>
        <v>33.531447838888887</v>
      </c>
      <c r="S9" s="89">
        <f t="shared" si="3"/>
        <v>133.38008023333333</v>
      </c>
      <c r="T9" s="163" t="s">
        <v>49</v>
      </c>
      <c r="U9" s="167">
        <v>2</v>
      </c>
      <c r="V9" s="73" t="s">
        <v>146</v>
      </c>
      <c r="W9" s="23"/>
      <c r="X9" s="23"/>
      <c r="Y9" s="23"/>
      <c r="Z9" s="23"/>
      <c r="AA9" s="23"/>
      <c r="AB9" s="71"/>
      <c r="AC9" s="71"/>
      <c r="AD9" s="70" t="s">
        <v>129</v>
      </c>
      <c r="AE9" s="168" t="str">
        <f>"a"&amp;U9</f>
        <v>a2</v>
      </c>
      <c r="AF9" s="80" t="str">
        <f>LOWER(I9)</f>
        <v>e0acf1ad80c0</v>
      </c>
      <c r="AG9" s="81" t="str">
        <f>MID(AF9,1,2)&amp;":"&amp;MID(AF9,3,2)&amp;":"&amp;MID(AF9,5,2)&amp;":"&amp;MID(AF9,7,2)&amp;":"&amp;MID(AF9,9,2)&amp;":"&amp;MID(AF9,11,2)</f>
        <v>e0:ac:f1:ad:80:c0</v>
      </c>
      <c r="AH9" s="81">
        <f>S9</f>
        <v>133.38008023333333</v>
      </c>
      <c r="AI9" s="99">
        <f>R9</f>
        <v>33.531447838888887</v>
      </c>
      <c r="AJ9" s="99">
        <v>0</v>
      </c>
      <c r="AK9" s="100">
        <v>-75</v>
      </c>
      <c r="AL9" s="100" t="s">
        <v>131</v>
      </c>
      <c r="AM9" s="155" t="s">
        <v>240</v>
      </c>
      <c r="AN9" s="172">
        <f>U9</f>
        <v>2</v>
      </c>
      <c r="AO9" s="329" t="s">
        <v>153</v>
      </c>
      <c r="AP9" s="173">
        <f>AH9</f>
        <v>133.38008023333333</v>
      </c>
      <c r="AQ9" s="173">
        <f>AI9</f>
        <v>33.531447838888887</v>
      </c>
      <c r="AR9" s="173">
        <v>15</v>
      </c>
      <c r="AS9" s="173" t="s">
        <v>154</v>
      </c>
      <c r="AT9" s="174" t="str">
        <f>AN7&amp;","&amp;AN10</f>
        <v>1,3</v>
      </c>
      <c r="AU9" s="155" t="s">
        <v>241</v>
      </c>
    </row>
    <row r="10" spans="1:47">
      <c r="A10" s="390">
        <v>150.30000000000001</v>
      </c>
      <c r="B10" s="155" t="s">
        <v>240</v>
      </c>
      <c r="C10" s="24" t="s">
        <v>62</v>
      </c>
      <c r="D10" s="28">
        <v>5</v>
      </c>
      <c r="E10" s="29"/>
      <c r="F10" s="30">
        <v>150.30000000000001</v>
      </c>
      <c r="G10" s="29">
        <v>0</v>
      </c>
      <c r="H10" s="24" t="s">
        <v>63</v>
      </c>
      <c r="I10" s="24" t="s">
        <v>63</v>
      </c>
      <c r="J10" s="26">
        <v>58955.289173639314</v>
      </c>
      <c r="K10" s="31">
        <v>58955289.173639312</v>
      </c>
      <c r="L10" s="31">
        <v>58955289.173639297</v>
      </c>
      <c r="M10" s="26">
        <v>-11096.340970869365</v>
      </c>
      <c r="N10" s="32"/>
      <c r="O10" s="31"/>
      <c r="P10" s="196">
        <v>333153.61277000001</v>
      </c>
      <c r="Q10" s="197">
        <v>1332249.90717</v>
      </c>
      <c r="R10" s="27">
        <f t="shared" si="2"/>
        <v>33.531559102777777</v>
      </c>
      <c r="S10" s="27">
        <f t="shared" si="3"/>
        <v>133.38052976944445</v>
      </c>
      <c r="T10" s="392" t="s">
        <v>66</v>
      </c>
      <c r="U10" s="392">
        <v>3</v>
      </c>
      <c r="V10" s="35" t="s">
        <v>90</v>
      </c>
      <c r="W10" s="35">
        <v>1</v>
      </c>
      <c r="X10" s="35">
        <f>D10</f>
        <v>5</v>
      </c>
      <c r="Y10" s="27">
        <f>S10</f>
        <v>133.38052976944445</v>
      </c>
      <c r="Z10" s="27">
        <f>R10</f>
        <v>33.531559102777777</v>
      </c>
      <c r="AA10" s="35">
        <v>-10</v>
      </c>
      <c r="AB10" s="72">
        <v>-80</v>
      </c>
      <c r="AC10" s="181" t="s">
        <v>174</v>
      </c>
      <c r="AD10" s="155" t="s">
        <v>240</v>
      </c>
      <c r="AE10" s="165" t="s">
        <v>141</v>
      </c>
      <c r="AF10" s="125" t="s">
        <v>141</v>
      </c>
      <c r="AG10" s="126" t="s">
        <v>141</v>
      </c>
      <c r="AH10" s="127" t="s">
        <v>142</v>
      </c>
      <c r="AI10" s="127" t="s">
        <v>141</v>
      </c>
      <c r="AJ10" s="127" t="s">
        <v>141</v>
      </c>
      <c r="AK10" s="128" t="s">
        <v>141</v>
      </c>
      <c r="AL10" s="129" t="s">
        <v>141</v>
      </c>
      <c r="AM10" s="70" t="s">
        <v>129</v>
      </c>
      <c r="AN10" s="380">
        <f>U10</f>
        <v>3</v>
      </c>
      <c r="AO10" s="380" t="s">
        <v>153</v>
      </c>
      <c r="AP10" s="382">
        <f>Y10</f>
        <v>133.38052976944445</v>
      </c>
      <c r="AQ10" s="382">
        <f>Z10</f>
        <v>33.531559102777777</v>
      </c>
      <c r="AR10" s="382">
        <v>15</v>
      </c>
      <c r="AS10" s="384" t="s">
        <v>154</v>
      </c>
      <c r="AT10" s="384" t="str">
        <f>AN9&amp;","&amp;AN12</f>
        <v>2,4</v>
      </c>
      <c r="AU10" s="416" t="s">
        <v>241</v>
      </c>
    </row>
    <row r="11" spans="1:47">
      <c r="A11" s="391"/>
      <c r="B11" s="155" t="s">
        <v>240</v>
      </c>
      <c r="C11" s="24" t="s">
        <v>62</v>
      </c>
      <c r="D11" s="28">
        <v>6</v>
      </c>
      <c r="E11" s="29"/>
      <c r="F11" s="30">
        <v>150.30000000000001</v>
      </c>
      <c r="G11" s="29">
        <v>0</v>
      </c>
      <c r="H11" s="24" t="s">
        <v>63</v>
      </c>
      <c r="I11" s="24" t="s">
        <v>63</v>
      </c>
      <c r="J11" s="26">
        <v>58955.289173639314</v>
      </c>
      <c r="K11" s="31">
        <v>58955289.173639312</v>
      </c>
      <c r="L11" s="31">
        <v>58955289.173639297</v>
      </c>
      <c r="M11" s="26">
        <v>-11096.340970869365</v>
      </c>
      <c r="N11" s="32"/>
      <c r="O11" s="31"/>
      <c r="P11" s="196">
        <v>333153.61277000001</v>
      </c>
      <c r="Q11" s="197">
        <v>1332249.90717</v>
      </c>
      <c r="R11" s="27">
        <f t="shared" si="2"/>
        <v>33.531559102777777</v>
      </c>
      <c r="S11" s="27">
        <f t="shared" si="3"/>
        <v>133.38052976944445</v>
      </c>
      <c r="T11" s="393"/>
      <c r="U11" s="393"/>
      <c r="V11" s="27" t="s">
        <v>91</v>
      </c>
      <c r="W11" s="27">
        <v>1</v>
      </c>
      <c r="X11" s="35">
        <f>D11</f>
        <v>6</v>
      </c>
      <c r="Y11" s="27">
        <f>S11</f>
        <v>133.38052976944445</v>
      </c>
      <c r="Z11" s="27">
        <f>R11</f>
        <v>33.531559102777777</v>
      </c>
      <c r="AA11" s="35">
        <v>-10</v>
      </c>
      <c r="AB11" s="72">
        <v>-80</v>
      </c>
      <c r="AC11" s="181" t="s">
        <v>174</v>
      </c>
      <c r="AD11" s="155" t="s">
        <v>240</v>
      </c>
      <c r="AE11" s="165" t="s">
        <v>141</v>
      </c>
      <c r="AF11" s="125" t="s">
        <v>141</v>
      </c>
      <c r="AG11" s="126" t="s">
        <v>141</v>
      </c>
      <c r="AH11" s="127" t="s">
        <v>142</v>
      </c>
      <c r="AI11" s="127" t="s">
        <v>141</v>
      </c>
      <c r="AJ11" s="127" t="s">
        <v>141</v>
      </c>
      <c r="AK11" s="128" t="s">
        <v>141</v>
      </c>
      <c r="AL11" s="129" t="s">
        <v>141</v>
      </c>
      <c r="AM11" s="70" t="s">
        <v>129</v>
      </c>
      <c r="AN11" s="381"/>
      <c r="AO11" s="381"/>
      <c r="AP11" s="383"/>
      <c r="AQ11" s="383"/>
      <c r="AR11" s="383"/>
      <c r="AS11" s="385"/>
      <c r="AT11" s="385"/>
      <c r="AU11" s="387"/>
    </row>
    <row r="12" spans="1:47" ht="15" thickBot="1">
      <c r="A12" s="274">
        <v>202</v>
      </c>
      <c r="B12" s="155" t="s">
        <v>240</v>
      </c>
      <c r="C12" s="91" t="s">
        <v>54</v>
      </c>
      <c r="D12" s="92">
        <v>3</v>
      </c>
      <c r="E12" s="93"/>
      <c r="F12" s="93">
        <v>202</v>
      </c>
      <c r="G12" s="93">
        <v>0</v>
      </c>
      <c r="H12" s="91">
        <v>104</v>
      </c>
      <c r="I12" s="91" t="s">
        <v>118</v>
      </c>
      <c r="J12" s="94">
        <v>58992.690101171218</v>
      </c>
      <c r="K12" s="95">
        <v>58992690.101171218</v>
      </c>
      <c r="L12" s="95">
        <v>58994468.186725363</v>
      </c>
      <c r="M12" s="94">
        <v>-11061.503556133657</v>
      </c>
      <c r="N12" s="96">
        <v>-11061503.556133658</v>
      </c>
      <c r="O12" s="95">
        <v>-11064748.30755128</v>
      </c>
      <c r="P12" s="198">
        <v>333154.82812999998</v>
      </c>
      <c r="Q12" s="198">
        <v>1332251.2557999999</v>
      </c>
      <c r="R12" s="97">
        <f t="shared" si="2"/>
        <v>33.531896702777779</v>
      </c>
      <c r="S12" s="97">
        <f t="shared" si="3"/>
        <v>133.38090438888889</v>
      </c>
      <c r="T12" s="164" t="s">
        <v>67</v>
      </c>
      <c r="U12" s="164">
        <v>4</v>
      </c>
      <c r="V12" s="74"/>
      <c r="W12" s="69"/>
      <c r="X12" s="69"/>
      <c r="Y12" s="69"/>
      <c r="Z12" s="69"/>
      <c r="AA12" s="69"/>
      <c r="AB12" s="76"/>
      <c r="AC12" s="76"/>
      <c r="AD12" s="77" t="s">
        <v>129</v>
      </c>
      <c r="AE12" s="168" t="str">
        <f>"a"&amp;U12</f>
        <v>a4</v>
      </c>
      <c r="AF12" s="132" t="str">
        <f>LOWER(I12)</f>
        <v>e0acf1ad86b8</v>
      </c>
      <c r="AG12" s="133" t="str">
        <f>MID(AF12,1,2)&amp;":"&amp;MID(AF12,3,2)&amp;":"&amp;MID(AF12,5,2)&amp;":"&amp;MID(AF12,7,2)&amp;":"&amp;MID(AF12,9,2)&amp;":"&amp;MID(AF12,11,2)</f>
        <v>e0:ac:f1:ad:86:b8</v>
      </c>
      <c r="AH12" s="97">
        <f>S12</f>
        <v>133.38090438888889</v>
      </c>
      <c r="AI12" s="97">
        <f>R12</f>
        <v>33.531896702777779</v>
      </c>
      <c r="AJ12" s="97">
        <v>0</v>
      </c>
      <c r="AK12" s="134">
        <v>-75</v>
      </c>
      <c r="AL12" s="134" t="s">
        <v>130</v>
      </c>
      <c r="AM12" s="155" t="s">
        <v>240</v>
      </c>
      <c r="AN12" s="172">
        <f>U12</f>
        <v>4</v>
      </c>
      <c r="AO12" s="331" t="s">
        <v>153</v>
      </c>
      <c r="AP12" s="175">
        <f>AH12</f>
        <v>133.38090438888889</v>
      </c>
      <c r="AQ12" s="175">
        <f>AI12</f>
        <v>33.531896702777779</v>
      </c>
      <c r="AR12" s="175">
        <v>15</v>
      </c>
      <c r="AS12" s="175" t="s">
        <v>154</v>
      </c>
      <c r="AT12" s="174" t="str">
        <f>AN10&amp;","&amp;AN14</f>
        <v>3,5</v>
      </c>
      <c r="AU12" s="155" t="s">
        <v>241</v>
      </c>
    </row>
    <row r="13" spans="1:47" ht="19.5" customHeight="1" thickBot="1">
      <c r="A13" s="400" t="s">
        <v>65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1"/>
      <c r="P13" s="401"/>
      <c r="Q13" s="401"/>
      <c r="R13" s="401"/>
      <c r="S13" s="401"/>
      <c r="T13" s="401"/>
      <c r="U13" s="401"/>
      <c r="V13" s="401"/>
      <c r="W13" s="401"/>
      <c r="X13" s="401"/>
      <c r="Y13" s="401"/>
      <c r="Z13" s="401"/>
      <c r="AA13" s="401"/>
      <c r="AB13" s="401"/>
      <c r="AC13" s="401"/>
      <c r="AD13" s="401"/>
      <c r="AE13" s="401"/>
      <c r="AF13" s="401"/>
      <c r="AG13" s="401"/>
      <c r="AH13" s="401"/>
      <c r="AI13" s="401"/>
      <c r="AJ13" s="401"/>
      <c r="AK13" s="401"/>
      <c r="AL13" s="401"/>
      <c r="AM13" s="401"/>
      <c r="AN13" s="401"/>
      <c r="AO13" s="401"/>
      <c r="AP13" s="401"/>
      <c r="AQ13" s="401"/>
      <c r="AR13" s="401"/>
      <c r="AS13" s="401"/>
      <c r="AT13" s="401"/>
      <c r="AU13" s="402"/>
    </row>
    <row r="14" spans="1:47" ht="18.75" customHeight="1">
      <c r="A14" s="435">
        <v>0</v>
      </c>
      <c r="B14" s="155" t="s">
        <v>240</v>
      </c>
      <c r="C14" s="36" t="s">
        <v>62</v>
      </c>
      <c r="D14" s="28">
        <v>7</v>
      </c>
      <c r="E14" s="29"/>
      <c r="F14" s="29">
        <v>222.6</v>
      </c>
      <c r="G14" s="29">
        <v>0</v>
      </c>
      <c r="H14" s="36" t="s">
        <v>63</v>
      </c>
      <c r="I14" s="36" t="s">
        <v>63</v>
      </c>
      <c r="J14" s="26">
        <v>59010.755473928781</v>
      </c>
      <c r="K14" s="31">
        <v>59010755.473928779</v>
      </c>
      <c r="L14" s="31">
        <v>59010755.473928802</v>
      </c>
      <c r="M14" s="26">
        <v>-11051.60394467006</v>
      </c>
      <c r="N14" s="32"/>
      <c r="O14" s="31"/>
      <c r="P14" s="196">
        <v>333155.41490999999</v>
      </c>
      <c r="Q14" s="199">
        <v>1332251.6387</v>
      </c>
      <c r="R14" s="27">
        <f>LEFT(P14,2)+MID(P14,3,2)/60+MID(P14,5,8)/3600</f>
        <v>33.532059697222223</v>
      </c>
      <c r="S14" s="27">
        <f>LEFT(Q14,3)+MID(Q14,4,2)/60+MID(Q14,6,8)/3600</f>
        <v>133.38101075</v>
      </c>
      <c r="T14" s="419" t="s">
        <v>80</v>
      </c>
      <c r="U14" s="419">
        <v>5</v>
      </c>
      <c r="V14" s="27" t="s">
        <v>92</v>
      </c>
      <c r="W14" s="27">
        <v>1</v>
      </c>
      <c r="X14" s="27">
        <f>D14</f>
        <v>7</v>
      </c>
      <c r="Y14" s="27">
        <f>S14</f>
        <v>133.38101075</v>
      </c>
      <c r="Z14" s="27">
        <f>R14</f>
        <v>33.532059697222223</v>
      </c>
      <c r="AA14" s="27">
        <v>-10</v>
      </c>
      <c r="AB14" s="78">
        <v>-70</v>
      </c>
      <c r="AC14" s="181" t="s">
        <v>174</v>
      </c>
      <c r="AD14" s="155" t="s">
        <v>240</v>
      </c>
      <c r="AE14" s="170" t="s">
        <v>141</v>
      </c>
      <c r="AF14" s="125" t="s">
        <v>141</v>
      </c>
      <c r="AG14" s="126" t="s">
        <v>141</v>
      </c>
      <c r="AH14" s="135" t="s">
        <v>142</v>
      </c>
      <c r="AI14" s="135" t="s">
        <v>141</v>
      </c>
      <c r="AJ14" s="135" t="s">
        <v>141</v>
      </c>
      <c r="AK14" s="136" t="s">
        <v>141</v>
      </c>
      <c r="AL14" s="137" t="s">
        <v>141</v>
      </c>
      <c r="AM14" s="131" t="s">
        <v>129</v>
      </c>
      <c r="AN14" s="176">
        <f>U14</f>
        <v>5</v>
      </c>
      <c r="AO14" s="329" t="s">
        <v>153</v>
      </c>
      <c r="AP14" s="173">
        <f>Y14</f>
        <v>133.38101075</v>
      </c>
      <c r="AQ14" s="173">
        <f>Z14</f>
        <v>33.532059697222223</v>
      </c>
      <c r="AR14" s="173">
        <v>15</v>
      </c>
      <c r="AS14" s="173" t="s">
        <v>155</v>
      </c>
      <c r="AT14" s="174" t="str">
        <f>AN12&amp;","&amp;AN20&amp;","&amp;AN31</f>
        <v>4,6,13</v>
      </c>
      <c r="AU14" s="155" t="s">
        <v>241</v>
      </c>
    </row>
    <row r="15" spans="1:47" ht="18.75" customHeight="1">
      <c r="A15" s="391"/>
      <c r="B15" s="155" t="s">
        <v>240</v>
      </c>
      <c r="C15" s="24" t="s">
        <v>62</v>
      </c>
      <c r="D15" s="25">
        <v>8</v>
      </c>
      <c r="E15" s="25"/>
      <c r="F15" s="25">
        <v>222.6</v>
      </c>
      <c r="G15" s="25">
        <v>0</v>
      </c>
      <c r="H15" s="24" t="s">
        <v>63</v>
      </c>
      <c r="I15" s="24" t="s">
        <v>63</v>
      </c>
      <c r="J15" s="33">
        <v>59010.755473928781</v>
      </c>
      <c r="K15" s="25">
        <v>59010755.473928779</v>
      </c>
      <c r="L15" s="25">
        <v>59010755.473928779</v>
      </c>
      <c r="M15" s="33">
        <v>-11051.60394467006</v>
      </c>
      <c r="N15" s="25"/>
      <c r="O15" s="25"/>
      <c r="P15" s="200">
        <v>333155.41490999999</v>
      </c>
      <c r="Q15" s="201">
        <v>1332251.6387</v>
      </c>
      <c r="R15" s="35">
        <f>LEFT(P15,2)+MID(P15,3,2)/60+MID(P15,5,8)/3600</f>
        <v>33.532059697222223</v>
      </c>
      <c r="S15" s="35">
        <f>LEFT(Q15,3)+MID(Q15,4,2)/60+MID(Q15,6,8)/3600</f>
        <v>133.38101075</v>
      </c>
      <c r="T15" s="419"/>
      <c r="U15" s="419"/>
      <c r="V15" s="124" t="s">
        <v>141</v>
      </c>
      <c r="W15" s="125" t="s">
        <v>141</v>
      </c>
      <c r="X15" s="126" t="s">
        <v>141</v>
      </c>
      <c r="Y15" s="127" t="s">
        <v>142</v>
      </c>
      <c r="Z15" s="127" t="s">
        <v>141</v>
      </c>
      <c r="AA15" s="127" t="s">
        <v>141</v>
      </c>
      <c r="AB15" s="127" t="s">
        <v>141</v>
      </c>
      <c r="AC15" s="127"/>
      <c r="AD15" s="123" t="s">
        <v>129</v>
      </c>
      <c r="AE15" s="165" t="s">
        <v>141</v>
      </c>
      <c r="AF15" s="125" t="s">
        <v>141</v>
      </c>
      <c r="AG15" s="126" t="s">
        <v>141</v>
      </c>
      <c r="AH15" s="127" t="s">
        <v>142</v>
      </c>
      <c r="AI15" s="127" t="s">
        <v>141</v>
      </c>
      <c r="AJ15" s="127" t="s">
        <v>141</v>
      </c>
      <c r="AK15" s="128" t="s">
        <v>141</v>
      </c>
      <c r="AL15" s="129" t="s">
        <v>141</v>
      </c>
      <c r="AM15" s="123" t="s">
        <v>129</v>
      </c>
      <c r="AN15" s="165" t="s">
        <v>141</v>
      </c>
      <c r="AO15" s="170" t="s">
        <v>141</v>
      </c>
      <c r="AP15" s="127" t="s">
        <v>142</v>
      </c>
      <c r="AQ15" s="127" t="s">
        <v>141</v>
      </c>
      <c r="AR15" s="127"/>
      <c r="AS15" s="127"/>
      <c r="AT15" s="127" t="s">
        <v>141</v>
      </c>
      <c r="AU15" s="123" t="s">
        <v>129</v>
      </c>
    </row>
    <row r="16" spans="1:47">
      <c r="A16" s="273">
        <v>0</v>
      </c>
      <c r="B16" s="155" t="s">
        <v>240</v>
      </c>
      <c r="C16" s="83" t="s">
        <v>54</v>
      </c>
      <c r="D16" s="84">
        <v>4</v>
      </c>
      <c r="E16" s="85"/>
      <c r="F16" s="85">
        <v>225</v>
      </c>
      <c r="G16" s="85">
        <v>0</v>
      </c>
      <c r="H16" s="83">
        <v>108</v>
      </c>
      <c r="I16" s="83" t="s">
        <v>119</v>
      </c>
      <c r="J16" s="86">
        <v>59012.726039425717</v>
      </c>
      <c r="K16" s="87">
        <v>59012726.039425716</v>
      </c>
      <c r="L16" s="87">
        <v>59015032.745009467</v>
      </c>
      <c r="M16" s="86">
        <v>-11050.524097990725</v>
      </c>
      <c r="N16" s="88">
        <v>-11050524.097990725</v>
      </c>
      <c r="O16" s="87">
        <v>-11054733.505235206</v>
      </c>
      <c r="P16" s="195">
        <v>333155.47892000002</v>
      </c>
      <c r="Q16" s="195">
        <v>1332251.68047</v>
      </c>
      <c r="R16" s="89">
        <f>LEFT(P16,2)+MID(P16,3,2)/60+MID(P16,5,8)/3600</f>
        <v>33.532077477777776</v>
      </c>
      <c r="S16" s="89">
        <f>LEFT(Q16,3)+MID(Q16,4,2)/60+MID(Q16,6,8)/3600</f>
        <v>133.38102235277779</v>
      </c>
      <c r="T16" s="419"/>
      <c r="U16" s="419"/>
      <c r="V16" s="124" t="s">
        <v>141</v>
      </c>
      <c r="W16" s="125" t="s">
        <v>141</v>
      </c>
      <c r="X16" s="126" t="s">
        <v>141</v>
      </c>
      <c r="Y16" s="127" t="s">
        <v>142</v>
      </c>
      <c r="Z16" s="127" t="s">
        <v>141</v>
      </c>
      <c r="AA16" s="127" t="s">
        <v>141</v>
      </c>
      <c r="AB16" s="127" t="s">
        <v>141</v>
      </c>
      <c r="AC16" s="127"/>
      <c r="AD16" s="123" t="s">
        <v>129</v>
      </c>
      <c r="AE16" s="168" t="str">
        <f>"a"&amp;U14</f>
        <v>a5</v>
      </c>
      <c r="AF16" s="80" t="str">
        <f>LOWER(I16)</f>
        <v>e0acf1ad52a8</v>
      </c>
      <c r="AG16" s="101" t="str">
        <f>MID(AF16,1,2)&amp;":"&amp;MID(AF16,3,2)&amp;":"&amp;MID(AF16,5,2)&amp;":"&amp;MID(AF16,7,2)&amp;":"&amp;MID(AF16,9,2)&amp;":"&amp;MID(AF16,11,2)</f>
        <v>e0:ac:f1:ad:52:a8</v>
      </c>
      <c r="AH16" s="102">
        <f>S16</f>
        <v>133.38102235277779</v>
      </c>
      <c r="AI16" s="102">
        <f>R16</f>
        <v>33.532077477777776</v>
      </c>
      <c r="AJ16" s="99">
        <v>0</v>
      </c>
      <c r="AK16" s="100">
        <v>-75</v>
      </c>
      <c r="AL16" s="82" t="s">
        <v>132</v>
      </c>
      <c r="AM16" s="155" t="s">
        <v>240</v>
      </c>
      <c r="AN16" s="165" t="s">
        <v>141</v>
      </c>
      <c r="AO16" s="170" t="s">
        <v>141</v>
      </c>
      <c r="AP16" s="127" t="s">
        <v>142</v>
      </c>
      <c r="AQ16" s="127" t="s">
        <v>141</v>
      </c>
      <c r="AR16" s="127"/>
      <c r="AS16" s="127"/>
      <c r="AT16" s="127" t="s">
        <v>141</v>
      </c>
      <c r="AU16" s="123" t="s">
        <v>129</v>
      </c>
    </row>
    <row r="17" spans="1:48" ht="19.5" customHeight="1">
      <c r="A17" s="273">
        <v>0</v>
      </c>
      <c r="B17" s="190" t="s">
        <v>240</v>
      </c>
      <c r="C17" s="36" t="s">
        <v>55</v>
      </c>
      <c r="D17" s="37" t="s">
        <v>12</v>
      </c>
      <c r="E17" s="29">
        <v>10</v>
      </c>
      <c r="F17" s="29">
        <v>235</v>
      </c>
      <c r="G17" s="29">
        <v>3.7</v>
      </c>
      <c r="H17" s="24" t="s">
        <v>63</v>
      </c>
      <c r="I17" s="24" t="s">
        <v>63</v>
      </c>
      <c r="J17" s="26">
        <v>59017.861279899997</v>
      </c>
      <c r="K17" s="31">
        <f>J17*1000</f>
        <v>59017861.279899999</v>
      </c>
      <c r="L17" s="31">
        <v>59014637.454238497</v>
      </c>
      <c r="M17" s="26">
        <v>-11041.914808399999</v>
      </c>
      <c r="N17" s="68"/>
      <c r="O17" s="68"/>
      <c r="P17" s="196">
        <v>333155.64593</v>
      </c>
      <c r="Q17" s="197">
        <v>1332252.01394</v>
      </c>
      <c r="R17" s="27">
        <f>LEFT(P17,2)+MID(P17,3,2)/60+MID(P17,5,8)/3600</f>
        <v>33.53212386944444</v>
      </c>
      <c r="S17" s="27">
        <f>LEFT(Q17,3)+MID(Q17,4,2)/60+MID(Q17,6,8)/3600</f>
        <v>133.38111498333333</v>
      </c>
      <c r="T17" s="419"/>
      <c r="U17" s="419"/>
      <c r="V17" s="124" t="s">
        <v>141</v>
      </c>
      <c r="W17" s="125" t="s">
        <v>141</v>
      </c>
      <c r="X17" s="126" t="s">
        <v>141</v>
      </c>
      <c r="Y17" s="127" t="s">
        <v>142</v>
      </c>
      <c r="Z17" s="127" t="s">
        <v>141</v>
      </c>
      <c r="AA17" s="127" t="s">
        <v>141</v>
      </c>
      <c r="AB17" s="127" t="s">
        <v>141</v>
      </c>
      <c r="AC17" s="127"/>
      <c r="AD17" s="123" t="s">
        <v>129</v>
      </c>
      <c r="AE17" s="165" t="s">
        <v>141</v>
      </c>
      <c r="AF17" s="125" t="s">
        <v>141</v>
      </c>
      <c r="AG17" s="126" t="s">
        <v>141</v>
      </c>
      <c r="AH17" s="127" t="s">
        <v>142</v>
      </c>
      <c r="AI17" s="127" t="s">
        <v>141</v>
      </c>
      <c r="AJ17" s="127" t="s">
        <v>141</v>
      </c>
      <c r="AK17" s="128" t="s">
        <v>141</v>
      </c>
      <c r="AL17" s="129" t="s">
        <v>141</v>
      </c>
      <c r="AM17" s="123" t="s">
        <v>129</v>
      </c>
      <c r="AN17" s="165" t="s">
        <v>141</v>
      </c>
      <c r="AO17" s="170" t="s">
        <v>141</v>
      </c>
      <c r="AP17" s="127" t="s">
        <v>142</v>
      </c>
      <c r="AQ17" s="127" t="s">
        <v>141</v>
      </c>
      <c r="AR17" s="127"/>
      <c r="AS17" s="127"/>
      <c r="AT17" s="127" t="s">
        <v>141</v>
      </c>
      <c r="AU17" s="123" t="s">
        <v>129</v>
      </c>
    </row>
    <row r="18" spans="1:48" ht="19.5" customHeight="1" thickBot="1">
      <c r="A18" s="274">
        <v>0</v>
      </c>
      <c r="B18" s="205" t="s">
        <v>240</v>
      </c>
      <c r="C18" s="62" t="s">
        <v>55</v>
      </c>
      <c r="D18" s="63">
        <v>10</v>
      </c>
      <c r="E18" s="64"/>
      <c r="F18" s="64">
        <v>225</v>
      </c>
      <c r="G18" s="64">
        <v>-3.7</v>
      </c>
      <c r="H18" s="138" t="s">
        <v>63</v>
      </c>
      <c r="I18" s="138" t="s">
        <v>63</v>
      </c>
      <c r="J18" s="65">
        <v>59022.590114600003</v>
      </c>
      <c r="K18" s="66">
        <v>59022590.114600003</v>
      </c>
      <c r="L18" s="66">
        <v>59022590.114600003</v>
      </c>
      <c r="M18" s="65">
        <v>-11050.7168029</v>
      </c>
      <c r="N18" s="38"/>
      <c r="O18" s="38"/>
      <c r="P18" s="202">
        <v>333155.79911000002</v>
      </c>
      <c r="Q18" s="203">
        <v>1332251.6725600001</v>
      </c>
      <c r="R18" s="67">
        <f>LEFT(P18,2)+MID(P18,3,2)/60+MID(P18,5,8)/3600</f>
        <v>33.532166419444444</v>
      </c>
      <c r="S18" s="27">
        <f>LEFT(Q18,3)+MID(Q18,4,2)/60+MID(Q18,6,8)/3600</f>
        <v>133.38102015555558</v>
      </c>
      <c r="T18" s="420"/>
      <c r="U18" s="419"/>
      <c r="V18" s="139" t="s">
        <v>141</v>
      </c>
      <c r="W18" s="140" t="s">
        <v>141</v>
      </c>
      <c r="X18" s="141" t="s">
        <v>141</v>
      </c>
      <c r="Y18" s="142" t="s">
        <v>142</v>
      </c>
      <c r="Z18" s="142" t="s">
        <v>141</v>
      </c>
      <c r="AA18" s="142" t="s">
        <v>141</v>
      </c>
      <c r="AB18" s="142" t="s">
        <v>141</v>
      </c>
      <c r="AC18" s="142"/>
      <c r="AD18" s="130" t="s">
        <v>129</v>
      </c>
      <c r="AE18" s="171" t="s">
        <v>141</v>
      </c>
      <c r="AF18" s="140" t="s">
        <v>141</v>
      </c>
      <c r="AG18" s="141" t="s">
        <v>141</v>
      </c>
      <c r="AH18" s="142" t="s">
        <v>142</v>
      </c>
      <c r="AI18" s="142" t="s">
        <v>141</v>
      </c>
      <c r="AJ18" s="142" t="s">
        <v>141</v>
      </c>
      <c r="AK18" s="143" t="s">
        <v>141</v>
      </c>
      <c r="AL18" s="144" t="s">
        <v>141</v>
      </c>
      <c r="AM18" s="130" t="s">
        <v>129</v>
      </c>
      <c r="AN18" s="171" t="s">
        <v>141</v>
      </c>
      <c r="AO18" s="376" t="s">
        <v>141</v>
      </c>
      <c r="AP18" s="142" t="s">
        <v>142</v>
      </c>
      <c r="AQ18" s="142" t="s">
        <v>141</v>
      </c>
      <c r="AR18" s="142"/>
      <c r="AS18" s="142"/>
      <c r="AT18" s="142" t="s">
        <v>141</v>
      </c>
      <c r="AU18" s="130" t="s">
        <v>129</v>
      </c>
    </row>
    <row r="19" spans="1:48" ht="19.5" customHeight="1" thickBot="1">
      <c r="A19" s="407" t="s">
        <v>8</v>
      </c>
      <c r="B19" s="405"/>
      <c r="C19" s="405"/>
      <c r="D19" s="405"/>
      <c r="E19" s="405"/>
      <c r="F19" s="405"/>
      <c r="G19" s="405"/>
      <c r="H19" s="405"/>
      <c r="I19" s="405"/>
      <c r="J19" s="405"/>
      <c r="K19" s="405"/>
      <c r="L19" s="405"/>
      <c r="M19" s="405"/>
      <c r="N19" s="405"/>
      <c r="O19" s="405"/>
      <c r="P19" s="405"/>
      <c r="Q19" s="405"/>
      <c r="R19" s="405"/>
      <c r="S19" s="405"/>
      <c r="T19" s="405"/>
      <c r="U19" s="405"/>
      <c r="V19" s="405"/>
      <c r="W19" s="405"/>
      <c r="X19" s="405"/>
      <c r="Y19" s="405"/>
      <c r="Z19" s="405"/>
      <c r="AA19" s="405"/>
      <c r="AB19" s="405"/>
      <c r="AC19" s="405"/>
      <c r="AD19" s="405"/>
      <c r="AE19" s="405"/>
      <c r="AF19" s="405"/>
      <c r="AG19" s="405"/>
      <c r="AH19" s="405"/>
      <c r="AI19" s="405"/>
      <c r="AJ19" s="405"/>
      <c r="AK19" s="405"/>
      <c r="AL19" s="405"/>
      <c r="AM19" s="405"/>
      <c r="AN19" s="405"/>
      <c r="AO19" s="405"/>
      <c r="AP19" s="405"/>
      <c r="AQ19" s="405"/>
      <c r="AR19" s="405"/>
      <c r="AS19" s="405"/>
      <c r="AT19" s="405"/>
      <c r="AU19" s="406"/>
    </row>
    <row r="20" spans="1:48">
      <c r="A20" s="435">
        <v>51.600000000000023</v>
      </c>
      <c r="B20" s="155" t="s">
        <v>240</v>
      </c>
      <c r="C20" s="36" t="s">
        <v>55</v>
      </c>
      <c r="D20" s="37">
        <v>11</v>
      </c>
      <c r="E20" s="29"/>
      <c r="F20" s="29">
        <v>276.60000000000002</v>
      </c>
      <c r="G20" s="29">
        <v>0</v>
      </c>
      <c r="H20" s="36" t="s">
        <v>63</v>
      </c>
      <c r="I20" s="36" t="s">
        <v>63</v>
      </c>
      <c r="J20" s="26">
        <v>59044.8540765</v>
      </c>
      <c r="K20" s="31">
        <v>59044854.076499999</v>
      </c>
      <c r="L20" s="31">
        <v>59044854.076499999</v>
      </c>
      <c r="M20" s="26">
        <v>-11097.398668400001</v>
      </c>
      <c r="N20" s="38"/>
      <c r="O20" s="38"/>
      <c r="P20" s="196">
        <v>333156.52007000003</v>
      </c>
      <c r="Q20" s="197">
        <v>1332249.8621799999</v>
      </c>
      <c r="R20" s="27">
        <f t="shared" ref="R20:R25" si="6">LEFT(P20,2)+MID(P20,3,2)/60+MID(P20,5,8)/3600</f>
        <v>33.532366686111111</v>
      </c>
      <c r="S20" s="27">
        <f t="shared" ref="S20:S25" si="7">LEFT(Q20,3)+MID(Q20,4,2)/60+MID(Q20,6,8)/3600</f>
        <v>133.38051727222222</v>
      </c>
      <c r="T20" s="393" t="s">
        <v>163</v>
      </c>
      <c r="U20" s="393">
        <v>6</v>
      </c>
      <c r="V20" s="27" t="s">
        <v>93</v>
      </c>
      <c r="W20" s="27">
        <v>1</v>
      </c>
      <c r="X20" s="27">
        <f>D20</f>
        <v>11</v>
      </c>
      <c r="Y20" s="27">
        <f>S20</f>
        <v>133.38051727222222</v>
      </c>
      <c r="Z20" s="27">
        <f>R20</f>
        <v>33.532366686111111</v>
      </c>
      <c r="AA20" s="27">
        <v>-10</v>
      </c>
      <c r="AB20" s="78">
        <v>-70</v>
      </c>
      <c r="AC20" s="181" t="s">
        <v>174</v>
      </c>
      <c r="AD20" s="155" t="s">
        <v>240</v>
      </c>
      <c r="AE20" s="170" t="s">
        <v>141</v>
      </c>
      <c r="AF20" s="125" t="s">
        <v>141</v>
      </c>
      <c r="AG20" s="126" t="s">
        <v>141</v>
      </c>
      <c r="AH20" s="135" t="s">
        <v>142</v>
      </c>
      <c r="AI20" s="135" t="s">
        <v>141</v>
      </c>
      <c r="AJ20" s="135" t="s">
        <v>141</v>
      </c>
      <c r="AK20" s="136" t="s">
        <v>141</v>
      </c>
      <c r="AL20" s="137" t="s">
        <v>141</v>
      </c>
      <c r="AM20" s="79" t="s">
        <v>129</v>
      </c>
      <c r="AN20" s="388">
        <f>U20</f>
        <v>6</v>
      </c>
      <c r="AO20" s="388" t="s">
        <v>153</v>
      </c>
      <c r="AP20" s="398">
        <f>Y20</f>
        <v>133.38051727222222</v>
      </c>
      <c r="AQ20" s="398">
        <f>Z20</f>
        <v>33.532366686111111</v>
      </c>
      <c r="AR20" s="398">
        <v>15</v>
      </c>
      <c r="AS20" s="389" t="s">
        <v>156</v>
      </c>
      <c r="AT20" s="384" t="str">
        <f>AN14&amp;","&amp;AN22</f>
        <v>5,7</v>
      </c>
      <c r="AU20" s="386" t="s">
        <v>241</v>
      </c>
    </row>
    <row r="21" spans="1:48">
      <c r="A21" s="391"/>
      <c r="B21" s="155" t="s">
        <v>240</v>
      </c>
      <c r="C21" s="24" t="s">
        <v>55</v>
      </c>
      <c r="D21" s="39">
        <v>12</v>
      </c>
      <c r="E21" s="25"/>
      <c r="F21" s="25">
        <v>276.60000000000002</v>
      </c>
      <c r="G21" s="25">
        <v>0</v>
      </c>
      <c r="H21" s="24" t="s">
        <v>63</v>
      </c>
      <c r="I21" s="24" t="s">
        <v>63</v>
      </c>
      <c r="J21" s="33">
        <v>59044.8540765</v>
      </c>
      <c r="K21" s="34">
        <v>59044854.076499999</v>
      </c>
      <c r="L21" s="34">
        <v>59044854.076499999</v>
      </c>
      <c r="M21" s="33">
        <v>-11097.398668400001</v>
      </c>
      <c r="N21" s="38"/>
      <c r="O21" s="38"/>
      <c r="P21" s="200">
        <v>333156.52007000003</v>
      </c>
      <c r="Q21" s="201">
        <v>1332249.8621799999</v>
      </c>
      <c r="R21" s="27">
        <f t="shared" si="6"/>
        <v>33.532366686111111</v>
      </c>
      <c r="S21" s="27">
        <f t="shared" si="7"/>
        <v>133.38051727222222</v>
      </c>
      <c r="T21" s="418"/>
      <c r="U21" s="418"/>
      <c r="V21" s="35" t="s">
        <v>94</v>
      </c>
      <c r="W21" s="35">
        <v>1</v>
      </c>
      <c r="X21" s="35">
        <f>D21</f>
        <v>12</v>
      </c>
      <c r="Y21" s="27">
        <f>S21</f>
        <v>133.38051727222222</v>
      </c>
      <c r="Z21" s="27">
        <f>R21</f>
        <v>33.532366686111111</v>
      </c>
      <c r="AA21" s="35">
        <v>-10</v>
      </c>
      <c r="AB21" s="72">
        <v>-70</v>
      </c>
      <c r="AC21" s="181" t="s">
        <v>174</v>
      </c>
      <c r="AD21" s="155" t="s">
        <v>240</v>
      </c>
      <c r="AE21" s="165" t="s">
        <v>141</v>
      </c>
      <c r="AF21" s="125" t="s">
        <v>141</v>
      </c>
      <c r="AG21" s="126" t="s">
        <v>141</v>
      </c>
      <c r="AH21" s="127" t="s">
        <v>142</v>
      </c>
      <c r="AI21" s="127" t="s">
        <v>141</v>
      </c>
      <c r="AJ21" s="127" t="s">
        <v>141</v>
      </c>
      <c r="AK21" s="128" t="s">
        <v>141</v>
      </c>
      <c r="AL21" s="129" t="s">
        <v>141</v>
      </c>
      <c r="AM21" s="70" t="s">
        <v>129</v>
      </c>
      <c r="AN21" s="381"/>
      <c r="AO21" s="381"/>
      <c r="AP21" s="383"/>
      <c r="AQ21" s="383"/>
      <c r="AR21" s="383"/>
      <c r="AS21" s="385"/>
      <c r="AT21" s="385"/>
      <c r="AU21" s="387"/>
    </row>
    <row r="22" spans="1:48">
      <c r="A22" s="273"/>
      <c r="B22" s="155" t="s">
        <v>240</v>
      </c>
      <c r="C22" s="106" t="s">
        <v>54</v>
      </c>
      <c r="D22" s="107">
        <v>13</v>
      </c>
      <c r="E22" s="108"/>
      <c r="F22" s="108">
        <v>337</v>
      </c>
      <c r="G22" s="108">
        <v>0</v>
      </c>
      <c r="H22" s="106">
        <v>119</v>
      </c>
      <c r="I22" s="106" t="s">
        <v>120</v>
      </c>
      <c r="J22" s="110">
        <v>59070.092003400001</v>
      </c>
      <c r="K22" s="111">
        <v>59070092.003399998</v>
      </c>
      <c r="L22" s="111">
        <v>59070092.003399998</v>
      </c>
      <c r="M22" s="110">
        <v>-11142.187622699999</v>
      </c>
      <c r="N22" s="112">
        <v>-11142187.6227</v>
      </c>
      <c r="O22" s="112">
        <v>-11142187.6227</v>
      </c>
      <c r="P22" s="195">
        <v>333157.33763999998</v>
      </c>
      <c r="Q22" s="195">
        <v>1332248.1250199999</v>
      </c>
      <c r="R22" s="89">
        <f t="shared" si="6"/>
        <v>33.532593788888889</v>
      </c>
      <c r="S22" s="89">
        <f t="shared" si="7"/>
        <v>133.3800347277778</v>
      </c>
      <c r="T22" s="149" t="s">
        <v>37</v>
      </c>
      <c r="U22" s="163">
        <v>7</v>
      </c>
      <c r="V22" s="124" t="s">
        <v>141</v>
      </c>
      <c r="W22" s="125" t="s">
        <v>141</v>
      </c>
      <c r="X22" s="126" t="s">
        <v>141</v>
      </c>
      <c r="Y22" s="127" t="s">
        <v>142</v>
      </c>
      <c r="Z22" s="127" t="s">
        <v>141</v>
      </c>
      <c r="AA22" s="127" t="s">
        <v>141</v>
      </c>
      <c r="AB22" s="127" t="s">
        <v>141</v>
      </c>
      <c r="AC22" s="127"/>
      <c r="AD22" s="70" t="s">
        <v>129</v>
      </c>
      <c r="AE22" s="168" t="str">
        <f>"a"&amp;U22</f>
        <v>a7</v>
      </c>
      <c r="AF22" s="80" t="str">
        <f>LOWER(I22)</f>
        <v>00ebd55ed5f8</v>
      </c>
      <c r="AG22" s="81" t="str">
        <f>MID(AF22,1,2)&amp;":"&amp;MID(AF22,3,2)&amp;":"&amp;MID(AF22,5,2)&amp;":"&amp;MID(AF22,7,2)&amp;":"&amp;MID(AF22,9,2)&amp;":"&amp;MID(AF22,11,2)</f>
        <v>00:eb:d5:5e:d5:f8</v>
      </c>
      <c r="AH22" s="99">
        <f>S22</f>
        <v>133.3800347277778</v>
      </c>
      <c r="AI22" s="99">
        <f>R22</f>
        <v>33.532593788888889</v>
      </c>
      <c r="AJ22" s="99">
        <v>0</v>
      </c>
      <c r="AK22" s="100">
        <v>-75</v>
      </c>
      <c r="AL22" s="213" t="s">
        <v>237</v>
      </c>
      <c r="AM22" s="155" t="s">
        <v>240</v>
      </c>
      <c r="AN22" s="172">
        <f>U22</f>
        <v>7</v>
      </c>
      <c r="AO22" s="329" t="s">
        <v>153</v>
      </c>
      <c r="AP22" s="173">
        <f>AH22</f>
        <v>133.3800347277778</v>
      </c>
      <c r="AQ22" s="173">
        <f>AI22</f>
        <v>33.532593788888889</v>
      </c>
      <c r="AR22" s="173">
        <v>15</v>
      </c>
      <c r="AS22" s="173" t="s">
        <v>156</v>
      </c>
      <c r="AT22" s="174" t="str">
        <f>AN20&amp;","&amp;AN23</f>
        <v>6,8</v>
      </c>
      <c r="AU22" s="155" t="s">
        <v>241</v>
      </c>
    </row>
    <row r="23" spans="1:48">
      <c r="A23" s="390">
        <v>156.60000000000002</v>
      </c>
      <c r="B23" s="155" t="s">
        <v>240</v>
      </c>
      <c r="C23" s="24" t="s">
        <v>55</v>
      </c>
      <c r="D23" s="39">
        <v>33</v>
      </c>
      <c r="E23" s="25"/>
      <c r="F23" s="25">
        <v>381.6</v>
      </c>
      <c r="G23" s="25">
        <v>0</v>
      </c>
      <c r="H23" s="24" t="s">
        <v>61</v>
      </c>
      <c r="I23" s="24" t="s">
        <v>61</v>
      </c>
      <c r="J23" s="33">
        <v>59096.395253137118</v>
      </c>
      <c r="K23" s="34">
        <v>59096395.253137119</v>
      </c>
      <c r="L23" s="34">
        <v>59096395.253137097</v>
      </c>
      <c r="M23" s="33">
        <v>-11188.889858173767</v>
      </c>
      <c r="N23" s="38"/>
      <c r="O23" s="38"/>
      <c r="P23" s="200">
        <v>333158.18969999999</v>
      </c>
      <c r="Q23" s="201">
        <v>1332246.3136400001</v>
      </c>
      <c r="R23" s="27">
        <f t="shared" si="6"/>
        <v>33.532830472222223</v>
      </c>
      <c r="S23" s="27">
        <f t="shared" si="7"/>
        <v>133.37953156666669</v>
      </c>
      <c r="T23" s="418" t="s">
        <v>56</v>
      </c>
      <c r="U23" s="418">
        <v>8</v>
      </c>
      <c r="V23" s="35" t="s">
        <v>242</v>
      </c>
      <c r="W23" s="35">
        <v>1</v>
      </c>
      <c r="X23" s="35">
        <f>D23</f>
        <v>33</v>
      </c>
      <c r="Y23" s="27">
        <f>S23</f>
        <v>133.37953156666669</v>
      </c>
      <c r="Z23" s="27">
        <f>R23</f>
        <v>33.532830472222223</v>
      </c>
      <c r="AA23" s="35">
        <v>-10</v>
      </c>
      <c r="AB23" s="72">
        <v>-70</v>
      </c>
      <c r="AC23" s="181" t="s">
        <v>174</v>
      </c>
      <c r="AD23" s="155" t="s">
        <v>240</v>
      </c>
      <c r="AE23" s="165" t="s">
        <v>141</v>
      </c>
      <c r="AF23" s="125" t="s">
        <v>141</v>
      </c>
      <c r="AG23" s="126" t="s">
        <v>141</v>
      </c>
      <c r="AH23" s="127" t="s">
        <v>142</v>
      </c>
      <c r="AI23" s="127" t="s">
        <v>141</v>
      </c>
      <c r="AJ23" s="127" t="s">
        <v>141</v>
      </c>
      <c r="AK23" s="128" t="s">
        <v>141</v>
      </c>
      <c r="AL23" s="129" t="s">
        <v>141</v>
      </c>
      <c r="AM23" s="70" t="s">
        <v>129</v>
      </c>
      <c r="AN23" s="399">
        <f>U23</f>
        <v>8</v>
      </c>
      <c r="AO23" s="388" t="s">
        <v>153</v>
      </c>
      <c r="AP23" s="398">
        <f>Y23</f>
        <v>133.37953156666669</v>
      </c>
      <c r="AQ23" s="398">
        <f>Z23</f>
        <v>33.532830472222223</v>
      </c>
      <c r="AR23" s="398">
        <v>15</v>
      </c>
      <c r="AS23" s="389" t="s">
        <v>156</v>
      </c>
      <c r="AT23" s="384" t="str">
        <f>AN22&amp;","&amp;AN25</f>
        <v>7,9</v>
      </c>
      <c r="AU23" s="386" t="s">
        <v>241</v>
      </c>
    </row>
    <row r="24" spans="1:48">
      <c r="A24" s="391"/>
      <c r="B24" s="155" t="s">
        <v>240</v>
      </c>
      <c r="C24" s="24" t="s">
        <v>55</v>
      </c>
      <c r="D24" s="39">
        <v>34</v>
      </c>
      <c r="E24" s="25"/>
      <c r="F24" s="25">
        <v>381.6</v>
      </c>
      <c r="G24" s="25">
        <v>0</v>
      </c>
      <c r="H24" s="24" t="s">
        <v>61</v>
      </c>
      <c r="I24" s="24" t="s">
        <v>61</v>
      </c>
      <c r="J24" s="33">
        <v>59096.395253137118</v>
      </c>
      <c r="K24" s="34">
        <v>59096395.253137119</v>
      </c>
      <c r="L24" s="34">
        <v>59096395.253137119</v>
      </c>
      <c r="M24" s="33">
        <v>-11188.889858173767</v>
      </c>
      <c r="N24" s="68"/>
      <c r="O24" s="68"/>
      <c r="P24" s="200">
        <v>333158.18969999999</v>
      </c>
      <c r="Q24" s="201">
        <v>1332246.3136400001</v>
      </c>
      <c r="R24" s="27">
        <f t="shared" si="6"/>
        <v>33.532830472222223</v>
      </c>
      <c r="S24" s="27">
        <f t="shared" si="7"/>
        <v>133.37953156666669</v>
      </c>
      <c r="T24" s="392"/>
      <c r="U24" s="392"/>
      <c r="V24" s="35" t="s">
        <v>95</v>
      </c>
      <c r="W24" s="35">
        <v>1</v>
      </c>
      <c r="X24" s="35">
        <f>D24</f>
        <v>34</v>
      </c>
      <c r="Y24" s="35">
        <f>S24</f>
        <v>133.37953156666669</v>
      </c>
      <c r="Z24" s="35">
        <f>R24</f>
        <v>33.532830472222223</v>
      </c>
      <c r="AA24" s="35">
        <v>-10</v>
      </c>
      <c r="AB24" s="35">
        <v>-70</v>
      </c>
      <c r="AC24" s="181" t="s">
        <v>174</v>
      </c>
      <c r="AD24" s="155" t="s">
        <v>240</v>
      </c>
      <c r="AE24" s="165" t="s">
        <v>141</v>
      </c>
      <c r="AF24" s="125" t="s">
        <v>141</v>
      </c>
      <c r="AG24" s="126" t="s">
        <v>141</v>
      </c>
      <c r="AH24" s="127" t="s">
        <v>142</v>
      </c>
      <c r="AI24" s="127" t="s">
        <v>141</v>
      </c>
      <c r="AJ24" s="127" t="s">
        <v>141</v>
      </c>
      <c r="AK24" s="128" t="s">
        <v>141</v>
      </c>
      <c r="AL24" s="129" t="s">
        <v>141</v>
      </c>
      <c r="AM24" s="70" t="s">
        <v>129</v>
      </c>
      <c r="AN24" s="399"/>
      <c r="AO24" s="381"/>
      <c r="AP24" s="383"/>
      <c r="AQ24" s="383"/>
      <c r="AR24" s="383"/>
      <c r="AS24" s="385"/>
      <c r="AT24" s="385"/>
      <c r="AU24" s="387"/>
    </row>
    <row r="25" spans="1:48">
      <c r="A25" s="273"/>
      <c r="B25" s="155" t="s">
        <v>240</v>
      </c>
      <c r="C25" s="83" t="s">
        <v>54</v>
      </c>
      <c r="D25" s="113">
        <v>19</v>
      </c>
      <c r="E25" s="114"/>
      <c r="F25" s="114">
        <v>424.6</v>
      </c>
      <c r="G25" s="114">
        <v>0</v>
      </c>
      <c r="H25" s="83">
        <v>123</v>
      </c>
      <c r="I25" s="83" t="s">
        <v>122</v>
      </c>
      <c r="J25" s="86">
        <v>59117.497212567498</v>
      </c>
      <c r="K25" s="87">
        <v>59117497.212567501</v>
      </c>
      <c r="L25" s="87">
        <v>59117497.212567501</v>
      </c>
      <c r="M25" s="86">
        <v>-11226.355940277432</v>
      </c>
      <c r="N25" s="112">
        <v>-11226355.940277431</v>
      </c>
      <c r="O25" s="112">
        <v>-11226355.940277431</v>
      </c>
      <c r="P25" s="195">
        <v>333158.87326999998</v>
      </c>
      <c r="Q25" s="195">
        <v>1332244.8604900001</v>
      </c>
      <c r="R25" s="89">
        <f t="shared" si="6"/>
        <v>33.533020352777775</v>
      </c>
      <c r="S25" s="89">
        <f t="shared" si="7"/>
        <v>133.37912791388891</v>
      </c>
      <c r="T25" s="149" t="s">
        <v>128</v>
      </c>
      <c r="U25" s="163">
        <v>9</v>
      </c>
      <c r="V25" s="124" t="s">
        <v>141</v>
      </c>
      <c r="W25" s="125" t="s">
        <v>141</v>
      </c>
      <c r="X25" s="126" t="s">
        <v>141</v>
      </c>
      <c r="Y25" s="127" t="s">
        <v>142</v>
      </c>
      <c r="Z25" s="127" t="s">
        <v>141</v>
      </c>
      <c r="AA25" s="127" t="s">
        <v>141</v>
      </c>
      <c r="AB25" s="127" t="s">
        <v>141</v>
      </c>
      <c r="AC25" s="127"/>
      <c r="AD25" s="123" t="s">
        <v>129</v>
      </c>
      <c r="AE25" s="168" t="str">
        <f>"a"&amp;U25</f>
        <v>a9</v>
      </c>
      <c r="AF25" s="80" t="str">
        <f>LOWER(I25)</f>
        <v>00ebd55ebe58</v>
      </c>
      <c r="AG25" s="81" t="str">
        <f>MID(AF25,1,2)&amp;":"&amp;MID(AF25,3,2)&amp;":"&amp;MID(AF25,5,2)&amp;":"&amp;MID(AF25,7,2)&amp;":"&amp;MID(AF25,9,2)&amp;":"&amp;MID(AF25,11,2)</f>
        <v>00:eb:d5:5e:be:58</v>
      </c>
      <c r="AH25" s="99">
        <f>S25</f>
        <v>133.37912791388891</v>
      </c>
      <c r="AI25" s="99">
        <f>R25</f>
        <v>33.533020352777775</v>
      </c>
      <c r="AJ25" s="99">
        <v>0</v>
      </c>
      <c r="AK25" s="100">
        <v>-75</v>
      </c>
      <c r="AL25" s="100" t="s">
        <v>273</v>
      </c>
      <c r="AM25" s="155" t="s">
        <v>240</v>
      </c>
      <c r="AN25" s="172">
        <f>U25</f>
        <v>9</v>
      </c>
      <c r="AO25" s="329" t="s">
        <v>153</v>
      </c>
      <c r="AP25" s="173">
        <f>AH25</f>
        <v>133.37912791388891</v>
      </c>
      <c r="AQ25" s="173">
        <f>AI25</f>
        <v>33.533020352777775</v>
      </c>
      <c r="AR25" s="173">
        <v>15</v>
      </c>
      <c r="AS25" s="173" t="s">
        <v>156</v>
      </c>
      <c r="AT25" s="174" t="str">
        <f>AN23&amp;","&amp;AN26</f>
        <v>8,10</v>
      </c>
      <c r="AU25" s="155" t="s">
        <v>241</v>
      </c>
    </row>
    <row r="26" spans="1:48">
      <c r="A26" s="436">
        <v>250</v>
      </c>
      <c r="B26" s="155" t="s">
        <v>240</v>
      </c>
      <c r="C26" s="24" t="s">
        <v>55</v>
      </c>
      <c r="D26" s="39">
        <v>39</v>
      </c>
      <c r="E26" s="151"/>
      <c r="F26" s="150" t="s">
        <v>61</v>
      </c>
      <c r="G26" s="151"/>
      <c r="H26" s="240" t="s">
        <v>61</v>
      </c>
      <c r="I26" s="240" t="s">
        <v>61</v>
      </c>
      <c r="J26" s="33">
        <v>59142.230671992875</v>
      </c>
      <c r="K26" s="34"/>
      <c r="L26" s="34"/>
      <c r="M26" s="33">
        <v>-11270.269673719864</v>
      </c>
      <c r="N26" s="38"/>
      <c r="O26" s="38"/>
      <c r="P26" s="200">
        <v>333159.67447000003</v>
      </c>
      <c r="Q26" s="201">
        <v>1332243.1572499999</v>
      </c>
      <c r="R26" s="27">
        <f t="shared" ref="R26:R27" si="8">LEFT(P26,2)+MID(P26,3,2)/60+MID(P26,5,8)/3600</f>
        <v>33.533242908333335</v>
      </c>
      <c r="S26" s="27">
        <f t="shared" ref="S26:S27" si="9">LEFT(Q26,3)+MID(Q26,4,2)/60+MID(Q26,6,8)/3600</f>
        <v>133.37865479166666</v>
      </c>
      <c r="T26" s="392" t="s">
        <v>164</v>
      </c>
      <c r="U26" s="392">
        <v>10</v>
      </c>
      <c r="V26" s="150" t="str">
        <f>"b"&amp;D26</f>
        <v>b39</v>
      </c>
      <c r="W26" s="35">
        <v>1</v>
      </c>
      <c r="X26" s="35">
        <f>D26</f>
        <v>39</v>
      </c>
      <c r="Y26" s="27">
        <f>S26</f>
        <v>133.37865479166666</v>
      </c>
      <c r="Z26" s="27">
        <f>R26</f>
        <v>33.533242908333335</v>
      </c>
      <c r="AA26" s="35">
        <v>-10</v>
      </c>
      <c r="AB26" s="72">
        <v>-70</v>
      </c>
      <c r="AC26" s="181" t="s">
        <v>174</v>
      </c>
      <c r="AD26" s="155" t="s">
        <v>240</v>
      </c>
      <c r="AE26" s="165" t="s">
        <v>61</v>
      </c>
      <c r="AF26" s="125" t="s">
        <v>61</v>
      </c>
      <c r="AG26" s="126" t="s">
        <v>61</v>
      </c>
      <c r="AH26" s="127" t="s">
        <v>61</v>
      </c>
      <c r="AI26" s="127" t="s">
        <v>61</v>
      </c>
      <c r="AJ26" s="127" t="s">
        <v>61</v>
      </c>
      <c r="AK26" s="128" t="s">
        <v>61</v>
      </c>
      <c r="AL26" s="129" t="s">
        <v>61</v>
      </c>
      <c r="AM26" s="123" t="s">
        <v>129</v>
      </c>
      <c r="AN26" s="380">
        <f>U26</f>
        <v>10</v>
      </c>
      <c r="AO26" s="380" t="s">
        <v>153</v>
      </c>
      <c r="AP26" s="382">
        <f>S26</f>
        <v>133.37865479166666</v>
      </c>
      <c r="AQ26" s="382">
        <f>R26</f>
        <v>33.533242908333335</v>
      </c>
      <c r="AR26" s="398">
        <v>15</v>
      </c>
      <c r="AS26" s="389" t="s">
        <v>156</v>
      </c>
      <c r="AT26" s="384" t="str">
        <f>AN25&amp;","&amp;AN28</f>
        <v>9,11</v>
      </c>
      <c r="AU26" s="386" t="s">
        <v>241</v>
      </c>
    </row>
    <row r="27" spans="1:48">
      <c r="A27" s="437"/>
      <c r="B27" s="155" t="s">
        <v>240</v>
      </c>
      <c r="C27" s="24" t="s">
        <v>55</v>
      </c>
      <c r="D27" s="39">
        <v>40</v>
      </c>
      <c r="E27" s="151"/>
      <c r="F27" s="150" t="s">
        <v>61</v>
      </c>
      <c r="G27" s="151"/>
      <c r="H27" s="240" t="s">
        <v>61</v>
      </c>
      <c r="I27" s="240" t="s">
        <v>61</v>
      </c>
      <c r="J27" s="33">
        <v>59142.230671992875</v>
      </c>
      <c r="K27" s="34"/>
      <c r="L27" s="34"/>
      <c r="M27" s="33">
        <v>-11270.269673719864</v>
      </c>
      <c r="N27" s="38"/>
      <c r="O27" s="38"/>
      <c r="P27" s="200">
        <v>333159.67447000003</v>
      </c>
      <c r="Q27" s="201">
        <v>1332243.1572499999</v>
      </c>
      <c r="R27" s="27">
        <f t="shared" si="8"/>
        <v>33.533242908333335</v>
      </c>
      <c r="S27" s="27">
        <f t="shared" si="9"/>
        <v>133.37865479166666</v>
      </c>
      <c r="T27" s="393"/>
      <c r="U27" s="393"/>
      <c r="V27" s="150" t="str">
        <f>"b"&amp;D27</f>
        <v>b40</v>
      </c>
      <c r="W27" s="35">
        <v>1</v>
      </c>
      <c r="X27" s="35">
        <f>D27</f>
        <v>40</v>
      </c>
      <c r="Y27" s="35">
        <f>S27</f>
        <v>133.37865479166666</v>
      </c>
      <c r="Z27" s="35">
        <f>R27</f>
        <v>33.533242908333335</v>
      </c>
      <c r="AA27" s="35">
        <v>-10</v>
      </c>
      <c r="AB27" s="35">
        <v>-70</v>
      </c>
      <c r="AC27" s="181" t="s">
        <v>174</v>
      </c>
      <c r="AD27" s="155" t="s">
        <v>240</v>
      </c>
      <c r="AE27" s="165" t="s">
        <v>61</v>
      </c>
      <c r="AF27" s="125" t="s">
        <v>61</v>
      </c>
      <c r="AG27" s="126" t="s">
        <v>61</v>
      </c>
      <c r="AH27" s="127" t="s">
        <v>61</v>
      </c>
      <c r="AI27" s="127" t="s">
        <v>61</v>
      </c>
      <c r="AJ27" s="127" t="s">
        <v>61</v>
      </c>
      <c r="AK27" s="128" t="s">
        <v>61</v>
      </c>
      <c r="AL27" s="129" t="s">
        <v>61</v>
      </c>
      <c r="AM27" s="123" t="s">
        <v>129</v>
      </c>
      <c r="AN27" s="381"/>
      <c r="AO27" s="381"/>
      <c r="AP27" s="383"/>
      <c r="AQ27" s="383"/>
      <c r="AR27" s="383"/>
      <c r="AS27" s="385"/>
      <c r="AT27" s="385"/>
      <c r="AU27" s="387"/>
    </row>
    <row r="28" spans="1:48">
      <c r="A28" s="273"/>
      <c r="B28" s="155" t="s">
        <v>240</v>
      </c>
      <c r="C28" s="83" t="s">
        <v>54</v>
      </c>
      <c r="D28" s="113">
        <v>5</v>
      </c>
      <c r="E28" s="114"/>
      <c r="F28" s="114">
        <v>450</v>
      </c>
      <c r="G28" s="114">
        <v>0</v>
      </c>
      <c r="H28" s="83">
        <v>109</v>
      </c>
      <c r="I28" s="83" t="s">
        <v>121</v>
      </c>
      <c r="J28" s="86">
        <v>59165.786347636094</v>
      </c>
      <c r="K28" s="87">
        <v>59165786.347636096</v>
      </c>
      <c r="L28" s="87">
        <v>59129962.090928704</v>
      </c>
      <c r="M28" s="86">
        <v>-11312.092276998374</v>
      </c>
      <c r="N28" s="112">
        <v>-11248487.067845641</v>
      </c>
      <c r="O28" s="112">
        <v>-11248487.067845641</v>
      </c>
      <c r="P28" s="195">
        <v>333200.43751999998</v>
      </c>
      <c r="Q28" s="195">
        <v>1332241.5351100001</v>
      </c>
      <c r="R28" s="89">
        <f>LEFT(P28,2)+MID(P28,3,2)/60+MID(P28,5,8)/3600</f>
        <v>33.533454866666666</v>
      </c>
      <c r="S28" s="89">
        <f>LEFT(Q28,3)+MID(Q28,4,2)/60+MID(Q28,6,8)/3600</f>
        <v>133.37820419722223</v>
      </c>
      <c r="T28" s="149" t="s">
        <v>236</v>
      </c>
      <c r="U28" s="163">
        <v>11</v>
      </c>
      <c r="V28" s="124" t="s">
        <v>61</v>
      </c>
      <c r="W28" s="125" t="s">
        <v>61</v>
      </c>
      <c r="X28" s="126" t="s">
        <v>61</v>
      </c>
      <c r="Y28" s="127" t="s">
        <v>61</v>
      </c>
      <c r="Z28" s="127" t="s">
        <v>61</v>
      </c>
      <c r="AA28" s="127" t="s">
        <v>61</v>
      </c>
      <c r="AB28" s="127" t="s">
        <v>61</v>
      </c>
      <c r="AC28" s="127"/>
      <c r="AD28" s="123" t="s">
        <v>129</v>
      </c>
      <c r="AE28" s="168" t="str">
        <f>"a"&amp;U28</f>
        <v>a11</v>
      </c>
      <c r="AF28" s="80" t="str">
        <f>LOWER(I28)</f>
        <v>e0acf1ad5130</v>
      </c>
      <c r="AG28" s="81" t="str">
        <f>MID(AF28,1,2)&amp;":"&amp;MID(AF28,3,2)&amp;":"&amp;MID(AF28,5,2)&amp;":"&amp;MID(AF28,7,2)&amp;":"&amp;MID(AF28,9,2)&amp;":"&amp;MID(AF28,11,2)</f>
        <v>e0:ac:f1:ad:51:30</v>
      </c>
      <c r="AH28" s="99">
        <f>S28</f>
        <v>133.37820419722223</v>
      </c>
      <c r="AI28" s="99">
        <f>R28</f>
        <v>33.533454866666666</v>
      </c>
      <c r="AJ28" s="99">
        <v>0</v>
      </c>
      <c r="AK28" s="100">
        <v>-75</v>
      </c>
      <c r="AL28" s="100" t="s">
        <v>248</v>
      </c>
      <c r="AM28" s="155" t="s">
        <v>240</v>
      </c>
      <c r="AN28" s="172">
        <f>U28</f>
        <v>11</v>
      </c>
      <c r="AO28" s="329" t="s">
        <v>153</v>
      </c>
      <c r="AP28" s="173">
        <f>S28</f>
        <v>133.37820419722223</v>
      </c>
      <c r="AQ28" s="173">
        <f>R28</f>
        <v>33.533454866666666</v>
      </c>
      <c r="AR28" s="173">
        <v>15</v>
      </c>
      <c r="AS28" s="173" t="s">
        <v>156</v>
      </c>
      <c r="AT28" s="174" t="str">
        <f>AN26&amp;","&amp;AN29</f>
        <v>10,12</v>
      </c>
      <c r="AU28" s="155" t="s">
        <v>241</v>
      </c>
    </row>
    <row r="29" spans="1:48" ht="15" thickBot="1">
      <c r="A29" s="116"/>
      <c r="B29" s="155" t="s">
        <v>240</v>
      </c>
      <c r="C29" s="124" t="s">
        <v>141</v>
      </c>
      <c r="D29" s="124" t="s">
        <v>141</v>
      </c>
      <c r="E29" s="287"/>
      <c r="F29" s="124" t="s">
        <v>141</v>
      </c>
      <c r="G29" s="287"/>
      <c r="H29" s="124" t="s">
        <v>141</v>
      </c>
      <c r="I29" s="124" t="s">
        <v>141</v>
      </c>
      <c r="J29" s="124" t="s">
        <v>141</v>
      </c>
      <c r="K29" s="288"/>
      <c r="L29" s="288"/>
      <c r="M29" s="124" t="s">
        <v>141</v>
      </c>
      <c r="N29" s="115"/>
      <c r="O29" s="115"/>
      <c r="P29" s="204" t="s">
        <v>141</v>
      </c>
      <c r="Q29" s="204" t="s">
        <v>141</v>
      </c>
      <c r="R29" s="124">
        <v>0</v>
      </c>
      <c r="S29" s="124">
        <v>0</v>
      </c>
      <c r="T29" s="285" t="s">
        <v>371</v>
      </c>
      <c r="U29" s="289">
        <v>12</v>
      </c>
      <c r="V29" s="139" t="s">
        <v>141</v>
      </c>
      <c r="W29" s="140" t="s">
        <v>141</v>
      </c>
      <c r="X29" s="141" t="s">
        <v>141</v>
      </c>
      <c r="Y29" s="142" t="s">
        <v>141</v>
      </c>
      <c r="Z29" s="142" t="s">
        <v>141</v>
      </c>
      <c r="AA29" s="142" t="s">
        <v>141</v>
      </c>
      <c r="AB29" s="142" t="s">
        <v>141</v>
      </c>
      <c r="AC29" s="142"/>
      <c r="AD29" s="285" t="s">
        <v>129</v>
      </c>
      <c r="AE29" s="171" t="s">
        <v>141</v>
      </c>
      <c r="AF29" s="140" t="s">
        <v>141</v>
      </c>
      <c r="AG29" s="141" t="s">
        <v>141</v>
      </c>
      <c r="AH29" s="142" t="s">
        <v>141</v>
      </c>
      <c r="AI29" s="142" t="s">
        <v>141</v>
      </c>
      <c r="AJ29" s="142" t="s">
        <v>141</v>
      </c>
      <c r="AK29" s="143" t="s">
        <v>141</v>
      </c>
      <c r="AL29" s="144" t="s">
        <v>141</v>
      </c>
      <c r="AM29" s="285" t="s">
        <v>129</v>
      </c>
      <c r="AN29" s="286">
        <f>U29</f>
        <v>12</v>
      </c>
      <c r="AO29" s="329" t="s">
        <v>153</v>
      </c>
      <c r="AP29" s="173">
        <f>S29</f>
        <v>0</v>
      </c>
      <c r="AQ29" s="173">
        <f>R29</f>
        <v>0</v>
      </c>
      <c r="AR29" s="173">
        <v>0</v>
      </c>
      <c r="AS29" s="173" t="s">
        <v>156</v>
      </c>
      <c r="AT29" s="174">
        <f>AN28</f>
        <v>11</v>
      </c>
      <c r="AU29" s="285" t="s">
        <v>129</v>
      </c>
      <c r="AV29" s="18" t="s">
        <v>364</v>
      </c>
    </row>
    <row r="30" spans="1:48" ht="19.5" customHeight="1" thickBot="1">
      <c r="A30" s="276" t="s">
        <v>9</v>
      </c>
      <c r="B30" s="188"/>
      <c r="C30" s="188"/>
      <c r="D30" s="188"/>
      <c r="E30" s="188"/>
      <c r="F30" s="188"/>
      <c r="G30" s="188"/>
      <c r="H30" s="245"/>
      <c r="I30" s="245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88"/>
      <c r="W30" s="188"/>
      <c r="X30" s="188"/>
      <c r="Y30" s="188"/>
      <c r="Z30" s="188"/>
      <c r="AA30" s="188"/>
      <c r="AB30" s="188"/>
      <c r="AC30" s="188"/>
      <c r="AD30" s="188"/>
      <c r="AE30" s="188"/>
      <c r="AF30" s="188"/>
      <c r="AG30" s="188"/>
      <c r="AH30" s="188"/>
      <c r="AI30" s="188"/>
      <c r="AJ30" s="188"/>
      <c r="AK30" s="188"/>
      <c r="AL30" s="188"/>
      <c r="AM30" s="188"/>
      <c r="AN30" s="188"/>
      <c r="AO30" s="245"/>
      <c r="AP30" s="188"/>
      <c r="AQ30" s="188"/>
      <c r="AR30" s="188"/>
      <c r="AS30" s="188"/>
      <c r="AT30" s="188"/>
      <c r="AU30" s="189"/>
    </row>
    <row r="31" spans="1:48">
      <c r="A31" s="275"/>
      <c r="B31" s="155" t="s">
        <v>240</v>
      </c>
      <c r="C31" s="83" t="s">
        <v>54</v>
      </c>
      <c r="D31" s="113">
        <v>6</v>
      </c>
      <c r="E31" s="114"/>
      <c r="F31" s="85">
        <f>225+83.9</f>
        <v>308.89999999999998</v>
      </c>
      <c r="G31" s="85">
        <v>0</v>
      </c>
      <c r="H31" s="83">
        <v>110</v>
      </c>
      <c r="I31" s="83" t="s">
        <v>123</v>
      </c>
      <c r="J31" s="86">
        <v>58978.371528612799</v>
      </c>
      <c r="K31" s="87">
        <v>58978371.5286128</v>
      </c>
      <c r="L31" s="87">
        <v>58978371.5286128</v>
      </c>
      <c r="M31" s="86">
        <v>-10979.341175396898</v>
      </c>
      <c r="N31" s="112">
        <v>-10979341.175396897</v>
      </c>
      <c r="O31" s="112">
        <v>-10979341.175396897</v>
      </c>
      <c r="P31" s="195">
        <v>333154.36638999998</v>
      </c>
      <c r="Q31" s="195">
        <v>1332254.4410399999</v>
      </c>
      <c r="R31" s="89">
        <f t="shared" ref="R31:R51" si="10">LEFT(P31,2)+MID(P31,3,2)/60+MID(P31,5,8)/3600</f>
        <v>33.531768441666664</v>
      </c>
      <c r="S31" s="89">
        <f t="shared" ref="S31:S51" si="11">LEFT(Q31,3)+MID(Q31,4,2)/60+MID(Q31,6,8)/3600</f>
        <v>133.38178917777779</v>
      </c>
      <c r="T31" s="166" t="s">
        <v>38</v>
      </c>
      <c r="U31" s="166">
        <v>13</v>
      </c>
      <c r="V31" s="125" t="s">
        <v>141</v>
      </c>
      <c r="W31" s="125" t="s">
        <v>141</v>
      </c>
      <c r="X31" s="126" t="s">
        <v>141</v>
      </c>
      <c r="Y31" s="135" t="s">
        <v>142</v>
      </c>
      <c r="Z31" s="135" t="s">
        <v>141</v>
      </c>
      <c r="AA31" s="135" t="s">
        <v>141</v>
      </c>
      <c r="AB31" s="135" t="s">
        <v>141</v>
      </c>
      <c r="AC31" s="135"/>
      <c r="AD31" s="131" t="s">
        <v>129</v>
      </c>
      <c r="AE31" s="168" t="str">
        <f>"a"&amp;U31</f>
        <v>a13</v>
      </c>
      <c r="AF31" s="80" t="str">
        <f>LOWER(I31)</f>
        <v>e0acf1ad5a08</v>
      </c>
      <c r="AG31" s="81" t="str">
        <f>MID(AF31,1,2)&amp;":"&amp;MID(AF31,3,2)&amp;":"&amp;MID(AF31,5,2)&amp;":"&amp;MID(AF31,7,2)&amp;":"&amp;MID(AF31,9,2)&amp;":"&amp;MID(AF31,11,2)</f>
        <v>e0:ac:f1:ad:5a:08</v>
      </c>
      <c r="AH31" s="81">
        <f>S31</f>
        <v>133.38178917777779</v>
      </c>
      <c r="AI31" s="81">
        <f>R31</f>
        <v>33.531768441666664</v>
      </c>
      <c r="AJ31" s="81">
        <v>0</v>
      </c>
      <c r="AK31" s="82">
        <v>-75</v>
      </c>
      <c r="AL31" s="82" t="s">
        <v>133</v>
      </c>
      <c r="AM31" s="155" t="s">
        <v>240</v>
      </c>
      <c r="AN31" s="176">
        <f>U31</f>
        <v>13</v>
      </c>
      <c r="AO31" s="329" t="s">
        <v>153</v>
      </c>
      <c r="AP31" s="173">
        <f>AH31</f>
        <v>133.38178917777779</v>
      </c>
      <c r="AQ31" s="173">
        <f>AI31</f>
        <v>33.531768441666664</v>
      </c>
      <c r="AR31" s="173">
        <v>15</v>
      </c>
      <c r="AS31" s="173" t="s">
        <v>158</v>
      </c>
      <c r="AT31" s="174" t="str">
        <f>AN14&amp;","&amp;AN32</f>
        <v>5,14</v>
      </c>
      <c r="AU31" s="155" t="s">
        <v>241</v>
      </c>
    </row>
    <row r="32" spans="1:48">
      <c r="A32" s="390">
        <v>358.9</v>
      </c>
      <c r="B32" s="155" t="s">
        <v>240</v>
      </c>
      <c r="C32" s="24" t="s">
        <v>55</v>
      </c>
      <c r="D32" s="39" t="s">
        <v>13</v>
      </c>
      <c r="E32" s="25">
        <v>133.9</v>
      </c>
      <c r="F32" s="25">
        <v>358.9</v>
      </c>
      <c r="G32" s="25">
        <v>0</v>
      </c>
      <c r="H32" s="24" t="s">
        <v>63</v>
      </c>
      <c r="I32" s="24" t="s">
        <v>63</v>
      </c>
      <c r="J32" s="33">
        <v>58953.83436648448</v>
      </c>
      <c r="K32" s="34">
        <f>J32*1000</f>
        <v>58953834.366484478</v>
      </c>
      <c r="L32" s="34">
        <v>58953834.3664845</v>
      </c>
      <c r="M32" s="33">
        <v>-10935.775963648452</v>
      </c>
      <c r="N32" s="38"/>
      <c r="O32" s="38"/>
      <c r="P32" s="200">
        <v>333153.57150000002</v>
      </c>
      <c r="Q32" s="201">
        <v>1332256.1307000001</v>
      </c>
      <c r="R32" s="27">
        <f>LEFT(P32,2)+MID(P32,3,2)/60+MID(P32,5,8)/3600</f>
        <v>33.531547638888888</v>
      </c>
      <c r="S32" s="27">
        <f>LEFT(Q32,3)+MID(Q32,4,2)/60+MID(Q32,6,8)/3600</f>
        <v>133.38225852777779</v>
      </c>
      <c r="T32" s="392" t="s">
        <v>39</v>
      </c>
      <c r="U32" s="392">
        <v>14</v>
      </c>
      <c r="V32" s="35" t="s">
        <v>97</v>
      </c>
      <c r="W32" s="35">
        <v>1</v>
      </c>
      <c r="X32" s="58" t="str">
        <f>D32</f>
        <v>13</v>
      </c>
      <c r="Y32" s="27">
        <f>S32</f>
        <v>133.38225852777779</v>
      </c>
      <c r="Z32" s="27">
        <f>R32</f>
        <v>33.531547638888888</v>
      </c>
      <c r="AA32" s="35">
        <v>-10</v>
      </c>
      <c r="AB32" s="72">
        <v>-70</v>
      </c>
      <c r="AC32" s="181" t="s">
        <v>174</v>
      </c>
      <c r="AD32" s="155" t="s">
        <v>240</v>
      </c>
      <c r="AE32" s="165" t="s">
        <v>141</v>
      </c>
      <c r="AF32" s="125" t="s">
        <v>141</v>
      </c>
      <c r="AG32" s="126" t="s">
        <v>141</v>
      </c>
      <c r="AH32" s="127" t="s">
        <v>142</v>
      </c>
      <c r="AI32" s="127" t="s">
        <v>141</v>
      </c>
      <c r="AJ32" s="127" t="s">
        <v>141</v>
      </c>
      <c r="AK32" s="128" t="s">
        <v>141</v>
      </c>
      <c r="AL32" s="129" t="s">
        <v>141</v>
      </c>
      <c r="AM32" s="123" t="s">
        <v>129</v>
      </c>
      <c r="AN32" s="399">
        <f>U32</f>
        <v>14</v>
      </c>
      <c r="AO32" s="388" t="s">
        <v>153</v>
      </c>
      <c r="AP32" s="398">
        <f>Y32</f>
        <v>133.38225852777779</v>
      </c>
      <c r="AQ32" s="398">
        <f>Z32</f>
        <v>33.531547638888888</v>
      </c>
      <c r="AR32" s="398">
        <v>15</v>
      </c>
      <c r="AS32" s="389" t="s">
        <v>158</v>
      </c>
      <c r="AT32" s="384" t="str">
        <f>AN31&amp;","&amp;AN34</f>
        <v>13,15</v>
      </c>
      <c r="AU32" s="155" t="s">
        <v>241</v>
      </c>
    </row>
    <row r="33" spans="1:47">
      <c r="A33" s="391"/>
      <c r="B33" s="155" t="s">
        <v>240</v>
      </c>
      <c r="C33" s="24" t="s">
        <v>55</v>
      </c>
      <c r="D33" s="39" t="s">
        <v>14</v>
      </c>
      <c r="E33" s="25">
        <v>133.9</v>
      </c>
      <c r="F33" s="25">
        <v>358.9</v>
      </c>
      <c r="G33" s="25">
        <v>0</v>
      </c>
      <c r="H33" s="24" t="s">
        <v>63</v>
      </c>
      <c r="I33" s="24" t="s">
        <v>63</v>
      </c>
      <c r="J33" s="33">
        <v>58953.83436648448</v>
      </c>
      <c r="K33" s="34">
        <f>J33*1000</f>
        <v>58953834.366484478</v>
      </c>
      <c r="L33" s="34">
        <v>58953834.366484478</v>
      </c>
      <c r="M33" s="33">
        <v>-10935.775963648452</v>
      </c>
      <c r="N33" s="38"/>
      <c r="O33" s="38"/>
      <c r="P33" s="200">
        <v>333153.57150000002</v>
      </c>
      <c r="Q33" s="201">
        <v>1332256.1307000001</v>
      </c>
      <c r="R33" s="27">
        <f t="shared" si="10"/>
        <v>33.531547638888888</v>
      </c>
      <c r="S33" s="27">
        <f t="shared" si="11"/>
        <v>133.38225852777779</v>
      </c>
      <c r="T33" s="393"/>
      <c r="U33" s="393"/>
      <c r="V33" s="35" t="s">
        <v>98</v>
      </c>
      <c r="W33" s="35">
        <v>1</v>
      </c>
      <c r="X33" s="58" t="str">
        <f>D33</f>
        <v>14</v>
      </c>
      <c r="Y33" s="27">
        <f>S33</f>
        <v>133.38225852777779</v>
      </c>
      <c r="Z33" s="27">
        <f>R33</f>
        <v>33.531547638888888</v>
      </c>
      <c r="AA33" s="35">
        <v>-10</v>
      </c>
      <c r="AB33" s="72">
        <v>-70</v>
      </c>
      <c r="AC33" s="181" t="s">
        <v>174</v>
      </c>
      <c r="AD33" s="155" t="s">
        <v>240</v>
      </c>
      <c r="AE33" s="165" t="s">
        <v>141</v>
      </c>
      <c r="AF33" s="125" t="s">
        <v>141</v>
      </c>
      <c r="AG33" s="126" t="s">
        <v>141</v>
      </c>
      <c r="AH33" s="127" t="s">
        <v>142</v>
      </c>
      <c r="AI33" s="127" t="s">
        <v>141</v>
      </c>
      <c r="AJ33" s="127" t="s">
        <v>141</v>
      </c>
      <c r="AK33" s="128" t="s">
        <v>141</v>
      </c>
      <c r="AL33" s="129" t="s">
        <v>141</v>
      </c>
      <c r="AM33" s="123" t="s">
        <v>129</v>
      </c>
      <c r="AN33" s="399"/>
      <c r="AO33" s="381"/>
      <c r="AP33" s="383"/>
      <c r="AQ33" s="383"/>
      <c r="AR33" s="383"/>
      <c r="AS33" s="385"/>
      <c r="AT33" s="385"/>
      <c r="AU33" s="155" t="s">
        <v>241</v>
      </c>
    </row>
    <row r="34" spans="1:47">
      <c r="A34" s="273"/>
      <c r="B34" s="155" t="s">
        <v>240</v>
      </c>
      <c r="C34" s="106" t="s">
        <v>54</v>
      </c>
      <c r="D34" s="107">
        <v>7</v>
      </c>
      <c r="E34" s="108"/>
      <c r="F34" s="109">
        <f>225+181.9</f>
        <v>406.9</v>
      </c>
      <c r="G34" s="109">
        <v>0</v>
      </c>
      <c r="H34" s="106">
        <v>112</v>
      </c>
      <c r="I34" s="106" t="s">
        <v>124</v>
      </c>
      <c r="J34" s="110">
        <v>58929.79772970394</v>
      </c>
      <c r="K34" s="111">
        <v>58929797.72970394</v>
      </c>
      <c r="L34" s="111">
        <v>58929797.729703903</v>
      </c>
      <c r="M34" s="110">
        <v>-10894.230452124972</v>
      </c>
      <c r="N34" s="112">
        <v>-10894230.452124972</v>
      </c>
      <c r="O34" s="112">
        <v>-10894230.452124972</v>
      </c>
      <c r="P34" s="195">
        <v>333152.79278000002</v>
      </c>
      <c r="Q34" s="195">
        <v>1332257.74205</v>
      </c>
      <c r="R34" s="89">
        <f t="shared" si="10"/>
        <v>33.531331327777778</v>
      </c>
      <c r="S34" s="89">
        <f t="shared" si="11"/>
        <v>133.382706125</v>
      </c>
      <c r="T34" s="163" t="s">
        <v>40</v>
      </c>
      <c r="U34" s="163">
        <v>15</v>
      </c>
      <c r="V34" s="124" t="s">
        <v>141</v>
      </c>
      <c r="W34" s="125" t="s">
        <v>141</v>
      </c>
      <c r="X34" s="126" t="s">
        <v>141</v>
      </c>
      <c r="Y34" s="127" t="s">
        <v>142</v>
      </c>
      <c r="Z34" s="127" t="s">
        <v>141</v>
      </c>
      <c r="AA34" s="127" t="s">
        <v>141</v>
      </c>
      <c r="AB34" s="127" t="s">
        <v>141</v>
      </c>
      <c r="AC34" s="127"/>
      <c r="AD34" s="123" t="s">
        <v>129</v>
      </c>
      <c r="AE34" s="168" t="str">
        <f>"a"&amp;U34</f>
        <v>a15</v>
      </c>
      <c r="AF34" s="80" t="str">
        <f>LOWER(I34)</f>
        <v>e0acf1ad9610</v>
      </c>
      <c r="AG34" s="81" t="str">
        <f>MID(AF34,1,2)&amp;":"&amp;MID(AF34,3,2)&amp;":"&amp;MID(AF34,5,2)&amp;":"&amp;MID(AF34,7,2)&amp;":"&amp;MID(AF34,9,2)&amp;":"&amp;MID(AF34,11,2)</f>
        <v>e0:ac:f1:ad:96:10</v>
      </c>
      <c r="AH34" s="99">
        <f>S34</f>
        <v>133.382706125</v>
      </c>
      <c r="AI34" s="99">
        <f>R34</f>
        <v>33.531331327777778</v>
      </c>
      <c r="AJ34" s="99">
        <v>0</v>
      </c>
      <c r="AK34" s="100">
        <v>-75</v>
      </c>
      <c r="AL34" s="100" t="s">
        <v>134</v>
      </c>
      <c r="AM34" s="155" t="s">
        <v>240</v>
      </c>
      <c r="AN34" s="172">
        <f>U34</f>
        <v>15</v>
      </c>
      <c r="AO34" s="329" t="s">
        <v>153</v>
      </c>
      <c r="AP34" s="173">
        <f>AH34</f>
        <v>133.382706125</v>
      </c>
      <c r="AQ34" s="173">
        <f>AI34</f>
        <v>33.531331327777778</v>
      </c>
      <c r="AR34" s="173">
        <v>15</v>
      </c>
      <c r="AS34" s="173" t="s">
        <v>158</v>
      </c>
      <c r="AT34" s="174" t="str">
        <f>AN32&amp;","&amp;AN35</f>
        <v>14,16</v>
      </c>
      <c r="AU34" s="155" t="s">
        <v>241</v>
      </c>
    </row>
    <row r="35" spans="1:47">
      <c r="A35" s="390">
        <v>458.9</v>
      </c>
      <c r="B35" s="155" t="s">
        <v>240</v>
      </c>
      <c r="C35" s="24" t="s">
        <v>55</v>
      </c>
      <c r="D35" s="39" t="s">
        <v>16</v>
      </c>
      <c r="E35" s="25">
        <v>233.9</v>
      </c>
      <c r="F35" s="25">
        <v>458.9</v>
      </c>
      <c r="G35" s="25">
        <v>0</v>
      </c>
      <c r="H35" s="24" t="s">
        <v>63</v>
      </c>
      <c r="I35" s="24" t="s">
        <v>63</v>
      </c>
      <c r="J35" s="33">
        <v>58900.913189387327</v>
      </c>
      <c r="K35" s="34">
        <f>J35*1000</f>
        <v>58900913.189387329</v>
      </c>
      <c r="L35" s="34">
        <v>58900913.189387299</v>
      </c>
      <c r="M35" s="33">
        <v>-10851.005788318649</v>
      </c>
      <c r="N35" s="38"/>
      <c r="O35" s="38"/>
      <c r="P35" s="200">
        <v>333151.85674999998</v>
      </c>
      <c r="Q35" s="201">
        <v>1332259.41869</v>
      </c>
      <c r="R35" s="27">
        <f t="shared" si="10"/>
        <v>33.531071319444443</v>
      </c>
      <c r="S35" s="27">
        <f t="shared" si="11"/>
        <v>133.38317185833333</v>
      </c>
      <c r="T35" s="392" t="s">
        <v>41</v>
      </c>
      <c r="U35" s="392">
        <v>16</v>
      </c>
      <c r="V35" s="35" t="s">
        <v>99</v>
      </c>
      <c r="W35" s="35">
        <v>1</v>
      </c>
      <c r="X35" s="58" t="str">
        <f>D35</f>
        <v>15</v>
      </c>
      <c r="Y35" s="27">
        <f>S35</f>
        <v>133.38317185833333</v>
      </c>
      <c r="Z35" s="27">
        <f>R35</f>
        <v>33.531071319444443</v>
      </c>
      <c r="AA35" s="35">
        <v>-10</v>
      </c>
      <c r="AB35" s="72">
        <v>-70</v>
      </c>
      <c r="AC35" s="181" t="s">
        <v>174</v>
      </c>
      <c r="AD35" s="155" t="s">
        <v>240</v>
      </c>
      <c r="AE35" s="165" t="s">
        <v>141</v>
      </c>
      <c r="AF35" s="125" t="s">
        <v>141</v>
      </c>
      <c r="AG35" s="126" t="s">
        <v>141</v>
      </c>
      <c r="AH35" s="127" t="s">
        <v>142</v>
      </c>
      <c r="AI35" s="127" t="s">
        <v>141</v>
      </c>
      <c r="AJ35" s="127" t="s">
        <v>141</v>
      </c>
      <c r="AK35" s="128" t="s">
        <v>141</v>
      </c>
      <c r="AL35" s="129" t="s">
        <v>141</v>
      </c>
      <c r="AM35" s="123" t="s">
        <v>129</v>
      </c>
      <c r="AN35" s="399">
        <f>U35</f>
        <v>16</v>
      </c>
      <c r="AO35" s="388" t="s">
        <v>153</v>
      </c>
      <c r="AP35" s="398">
        <f>Y35</f>
        <v>133.38317185833333</v>
      </c>
      <c r="AQ35" s="398">
        <f>Z35</f>
        <v>33.531071319444443</v>
      </c>
      <c r="AR35" s="398">
        <v>15</v>
      </c>
      <c r="AS35" s="389" t="s">
        <v>158</v>
      </c>
      <c r="AT35" s="384" t="str">
        <f>AN34&amp;","&amp;AN37</f>
        <v>15,17</v>
      </c>
      <c r="AU35" s="155" t="s">
        <v>241</v>
      </c>
    </row>
    <row r="36" spans="1:47">
      <c r="A36" s="391"/>
      <c r="B36" s="155" t="s">
        <v>240</v>
      </c>
      <c r="C36" s="24" t="s">
        <v>55</v>
      </c>
      <c r="D36" s="39" t="s">
        <v>15</v>
      </c>
      <c r="E36" s="25">
        <v>233.9</v>
      </c>
      <c r="F36" s="25">
        <v>458.9</v>
      </c>
      <c r="G36" s="25">
        <v>0</v>
      </c>
      <c r="H36" s="24" t="s">
        <v>63</v>
      </c>
      <c r="I36" s="24" t="s">
        <v>63</v>
      </c>
      <c r="J36" s="33">
        <v>58900.913189387327</v>
      </c>
      <c r="K36" s="34">
        <f>J36*1000</f>
        <v>58900913.189387329</v>
      </c>
      <c r="L36" s="34">
        <v>58900913.189387329</v>
      </c>
      <c r="M36" s="33">
        <v>-10851.005788318649</v>
      </c>
      <c r="N36" s="38"/>
      <c r="O36" s="38"/>
      <c r="P36" s="200">
        <v>333151.85674999998</v>
      </c>
      <c r="Q36" s="201">
        <v>1332259.41869</v>
      </c>
      <c r="R36" s="27">
        <f t="shared" si="10"/>
        <v>33.531071319444443</v>
      </c>
      <c r="S36" s="27">
        <f t="shared" si="11"/>
        <v>133.38317185833333</v>
      </c>
      <c r="T36" s="393"/>
      <c r="U36" s="393"/>
      <c r="V36" s="35" t="s">
        <v>100</v>
      </c>
      <c r="W36" s="35">
        <v>1</v>
      </c>
      <c r="X36" s="58" t="str">
        <f>D36</f>
        <v>16</v>
      </c>
      <c r="Y36" s="27">
        <f>S36</f>
        <v>133.38317185833333</v>
      </c>
      <c r="Z36" s="27">
        <f>R36</f>
        <v>33.531071319444443</v>
      </c>
      <c r="AA36" s="35">
        <v>-10</v>
      </c>
      <c r="AB36" s="72">
        <v>-70</v>
      </c>
      <c r="AC36" s="181" t="s">
        <v>174</v>
      </c>
      <c r="AD36" s="155" t="s">
        <v>240</v>
      </c>
      <c r="AE36" s="165" t="s">
        <v>141</v>
      </c>
      <c r="AF36" s="125" t="s">
        <v>141</v>
      </c>
      <c r="AG36" s="126" t="s">
        <v>141</v>
      </c>
      <c r="AH36" s="127" t="s">
        <v>142</v>
      </c>
      <c r="AI36" s="127" t="s">
        <v>141</v>
      </c>
      <c r="AJ36" s="127" t="s">
        <v>141</v>
      </c>
      <c r="AK36" s="128" t="s">
        <v>141</v>
      </c>
      <c r="AL36" s="129" t="s">
        <v>141</v>
      </c>
      <c r="AM36" s="123" t="s">
        <v>129</v>
      </c>
      <c r="AN36" s="399"/>
      <c r="AO36" s="381"/>
      <c r="AP36" s="383"/>
      <c r="AQ36" s="383"/>
      <c r="AR36" s="383"/>
      <c r="AS36" s="385"/>
      <c r="AT36" s="385"/>
      <c r="AU36" s="155" t="s">
        <v>241</v>
      </c>
    </row>
    <row r="37" spans="1:47">
      <c r="A37" s="273"/>
      <c r="B37" s="155" t="s">
        <v>240</v>
      </c>
      <c r="C37" s="106" t="s">
        <v>54</v>
      </c>
      <c r="D37" s="107">
        <v>8</v>
      </c>
      <c r="E37" s="108"/>
      <c r="F37" s="109">
        <f>225+280.7</f>
        <v>505.7</v>
      </c>
      <c r="G37" s="109">
        <v>0</v>
      </c>
      <c r="H37" s="106">
        <v>113</v>
      </c>
      <c r="I37" s="106" t="s">
        <v>125</v>
      </c>
      <c r="J37" s="110">
        <v>58875.65236107372</v>
      </c>
      <c r="K37" s="111">
        <v>58875652.361073717</v>
      </c>
      <c r="L37" s="111">
        <v>58875652.361073703</v>
      </c>
      <c r="M37" s="110">
        <v>-10811.616764070099</v>
      </c>
      <c r="N37" s="112">
        <v>-10811616.764070099</v>
      </c>
      <c r="O37" s="112">
        <v>-10811616.764070099</v>
      </c>
      <c r="P37" s="195">
        <v>333151.03820000001</v>
      </c>
      <c r="Q37" s="195">
        <v>1332300.94649</v>
      </c>
      <c r="R37" s="89">
        <f t="shared" si="10"/>
        <v>33.530843944444442</v>
      </c>
      <c r="S37" s="89">
        <f t="shared" si="11"/>
        <v>133.38359624722221</v>
      </c>
      <c r="T37" s="163" t="s">
        <v>42</v>
      </c>
      <c r="U37" s="163">
        <v>17</v>
      </c>
      <c r="V37" s="124" t="s">
        <v>141</v>
      </c>
      <c r="W37" s="125" t="s">
        <v>141</v>
      </c>
      <c r="X37" s="126" t="s">
        <v>141</v>
      </c>
      <c r="Y37" s="127" t="s">
        <v>142</v>
      </c>
      <c r="Z37" s="127" t="s">
        <v>141</v>
      </c>
      <c r="AA37" s="127" t="s">
        <v>141</v>
      </c>
      <c r="AB37" s="127" t="s">
        <v>141</v>
      </c>
      <c r="AC37" s="127"/>
      <c r="AD37" s="123" t="s">
        <v>129</v>
      </c>
      <c r="AE37" s="168" t="str">
        <f>"a"&amp;U37</f>
        <v>a17</v>
      </c>
      <c r="AF37" s="80" t="str">
        <f>LOWER(I37)</f>
        <v>e0acf1ad9638</v>
      </c>
      <c r="AG37" s="81" t="str">
        <f>MID(AF37,1,2)&amp;":"&amp;MID(AF37,3,2)&amp;":"&amp;MID(AF37,5,2)&amp;":"&amp;MID(AF37,7,2)&amp;":"&amp;MID(AF37,9,2)&amp;":"&amp;MID(AF37,11,2)</f>
        <v>e0:ac:f1:ad:96:38</v>
      </c>
      <c r="AH37" s="99">
        <f>S37</f>
        <v>133.38359624722221</v>
      </c>
      <c r="AI37" s="99">
        <f>R37</f>
        <v>33.530843944444442</v>
      </c>
      <c r="AJ37" s="99">
        <v>0</v>
      </c>
      <c r="AK37" s="100">
        <v>-75</v>
      </c>
      <c r="AL37" s="100" t="s">
        <v>135</v>
      </c>
      <c r="AM37" s="155" t="s">
        <v>240</v>
      </c>
      <c r="AN37" s="172">
        <f>U37</f>
        <v>17</v>
      </c>
      <c r="AO37" s="329" t="s">
        <v>153</v>
      </c>
      <c r="AP37" s="173">
        <f>AH37</f>
        <v>133.38359624722221</v>
      </c>
      <c r="AQ37" s="173">
        <f>AI37</f>
        <v>33.530843944444442</v>
      </c>
      <c r="AR37" s="173">
        <v>15</v>
      </c>
      <c r="AS37" s="173" t="s">
        <v>158</v>
      </c>
      <c r="AT37" s="174" t="str">
        <f>AN35&amp;","&amp;AN38</f>
        <v>16,18</v>
      </c>
      <c r="AU37" s="155" t="s">
        <v>241</v>
      </c>
    </row>
    <row r="38" spans="1:47">
      <c r="A38" s="390">
        <v>554.9</v>
      </c>
      <c r="B38" s="155" t="s">
        <v>240</v>
      </c>
      <c r="C38" s="24" t="s">
        <v>55</v>
      </c>
      <c r="D38" s="39" t="s">
        <v>17</v>
      </c>
      <c r="E38" s="25">
        <v>329.9</v>
      </c>
      <c r="F38" s="25">
        <v>554.9</v>
      </c>
      <c r="G38" s="25">
        <v>0</v>
      </c>
      <c r="H38" s="24" t="s">
        <v>63</v>
      </c>
      <c r="I38" s="24" t="s">
        <v>63</v>
      </c>
      <c r="J38" s="33">
        <v>58846.387129190101</v>
      </c>
      <c r="K38" s="34">
        <f>J38*1000</f>
        <v>58846387.129190102</v>
      </c>
      <c r="L38" s="34">
        <v>58846387.129190102</v>
      </c>
      <c r="M38" s="33">
        <v>-10772.070622833242</v>
      </c>
      <c r="N38" s="38"/>
      <c r="O38" s="38"/>
      <c r="P38" s="200">
        <v>333150.08967000002</v>
      </c>
      <c r="Q38" s="201">
        <v>1332302.48055</v>
      </c>
      <c r="R38" s="27">
        <f t="shared" si="10"/>
        <v>33.530580463888889</v>
      </c>
      <c r="S38" s="27">
        <f t="shared" si="11"/>
        <v>133.384022375</v>
      </c>
      <c r="T38" s="392" t="s">
        <v>43</v>
      </c>
      <c r="U38" s="392">
        <v>18</v>
      </c>
      <c r="V38" s="35" t="s">
        <v>101</v>
      </c>
      <c r="W38" s="35">
        <v>1</v>
      </c>
      <c r="X38" s="58" t="str">
        <f>D38</f>
        <v>17</v>
      </c>
      <c r="Y38" s="27">
        <f>S38</f>
        <v>133.384022375</v>
      </c>
      <c r="Z38" s="27">
        <f>R38</f>
        <v>33.530580463888889</v>
      </c>
      <c r="AA38" s="35">
        <v>-10</v>
      </c>
      <c r="AB38" s="72">
        <v>-70</v>
      </c>
      <c r="AC38" s="181" t="s">
        <v>174</v>
      </c>
      <c r="AD38" s="155" t="s">
        <v>240</v>
      </c>
      <c r="AE38" s="165" t="s">
        <v>141</v>
      </c>
      <c r="AF38" s="125" t="s">
        <v>141</v>
      </c>
      <c r="AG38" s="126" t="s">
        <v>141</v>
      </c>
      <c r="AH38" s="127" t="s">
        <v>142</v>
      </c>
      <c r="AI38" s="127" t="s">
        <v>141</v>
      </c>
      <c r="AJ38" s="127" t="s">
        <v>141</v>
      </c>
      <c r="AK38" s="128" t="s">
        <v>141</v>
      </c>
      <c r="AL38" s="129" t="s">
        <v>141</v>
      </c>
      <c r="AM38" s="123" t="s">
        <v>129</v>
      </c>
      <c r="AN38" s="399">
        <f>U38</f>
        <v>18</v>
      </c>
      <c r="AO38" s="388" t="s">
        <v>153</v>
      </c>
      <c r="AP38" s="398">
        <f>Y38</f>
        <v>133.384022375</v>
      </c>
      <c r="AQ38" s="398">
        <f>Z38</f>
        <v>33.530580463888889</v>
      </c>
      <c r="AR38" s="398">
        <v>15</v>
      </c>
      <c r="AS38" s="389" t="s">
        <v>158</v>
      </c>
      <c r="AT38" s="384" t="str">
        <f>AN37&amp;","&amp;AN40</f>
        <v>17,19</v>
      </c>
      <c r="AU38" s="155" t="s">
        <v>241</v>
      </c>
    </row>
    <row r="39" spans="1:47">
      <c r="A39" s="391"/>
      <c r="B39" s="155" t="s">
        <v>240</v>
      </c>
      <c r="C39" s="24" t="s">
        <v>55</v>
      </c>
      <c r="D39" s="39" t="s">
        <v>18</v>
      </c>
      <c r="E39" s="25">
        <v>329.9</v>
      </c>
      <c r="F39" s="25">
        <v>554.9</v>
      </c>
      <c r="G39" s="25">
        <v>0</v>
      </c>
      <c r="H39" s="24" t="s">
        <v>63</v>
      </c>
      <c r="I39" s="24" t="s">
        <v>63</v>
      </c>
      <c r="J39" s="33">
        <v>58846.387129190101</v>
      </c>
      <c r="K39" s="34">
        <f>J39*1000</f>
        <v>58846387.129190102</v>
      </c>
      <c r="L39" s="34">
        <v>58846387.129190102</v>
      </c>
      <c r="M39" s="33">
        <v>-10772.070622833242</v>
      </c>
      <c r="N39" s="38"/>
      <c r="O39" s="38"/>
      <c r="P39" s="200">
        <v>333150.08967000002</v>
      </c>
      <c r="Q39" s="201">
        <v>1332302.48055</v>
      </c>
      <c r="R39" s="27">
        <f t="shared" si="10"/>
        <v>33.530580463888889</v>
      </c>
      <c r="S39" s="27">
        <f t="shared" si="11"/>
        <v>133.384022375</v>
      </c>
      <c r="T39" s="393"/>
      <c r="U39" s="393"/>
      <c r="V39" s="35" t="s">
        <v>102</v>
      </c>
      <c r="W39" s="35">
        <v>1</v>
      </c>
      <c r="X39" s="58" t="str">
        <f>D39</f>
        <v>18</v>
      </c>
      <c r="Y39" s="27">
        <f>S39</f>
        <v>133.384022375</v>
      </c>
      <c r="Z39" s="27">
        <f>R39</f>
        <v>33.530580463888889</v>
      </c>
      <c r="AA39" s="35">
        <v>-10</v>
      </c>
      <c r="AB39" s="72">
        <v>-70</v>
      </c>
      <c r="AC39" s="181" t="s">
        <v>174</v>
      </c>
      <c r="AD39" s="155" t="s">
        <v>240</v>
      </c>
      <c r="AE39" s="165" t="s">
        <v>141</v>
      </c>
      <c r="AF39" s="125" t="s">
        <v>141</v>
      </c>
      <c r="AG39" s="126" t="s">
        <v>141</v>
      </c>
      <c r="AH39" s="127" t="s">
        <v>142</v>
      </c>
      <c r="AI39" s="127" t="s">
        <v>141</v>
      </c>
      <c r="AJ39" s="127" t="s">
        <v>141</v>
      </c>
      <c r="AK39" s="128" t="s">
        <v>141</v>
      </c>
      <c r="AL39" s="129" t="s">
        <v>141</v>
      </c>
      <c r="AM39" s="123" t="s">
        <v>129</v>
      </c>
      <c r="AN39" s="399"/>
      <c r="AO39" s="381"/>
      <c r="AP39" s="383"/>
      <c r="AQ39" s="383"/>
      <c r="AR39" s="383"/>
      <c r="AS39" s="385"/>
      <c r="AT39" s="385"/>
      <c r="AU39" s="155" t="s">
        <v>241</v>
      </c>
    </row>
    <row r="40" spans="1:47">
      <c r="A40" s="273"/>
      <c r="B40" s="155" t="s">
        <v>240</v>
      </c>
      <c r="C40" s="106" t="s">
        <v>54</v>
      </c>
      <c r="D40" s="107">
        <v>11</v>
      </c>
      <c r="E40" s="108"/>
      <c r="F40" s="109">
        <v>599</v>
      </c>
      <c r="G40" s="109">
        <v>0</v>
      </c>
      <c r="H40" s="106">
        <v>114</v>
      </c>
      <c r="I40" s="106" t="s">
        <v>126</v>
      </c>
      <c r="J40" s="110">
        <v>58818.900329989097</v>
      </c>
      <c r="K40" s="111">
        <v>58818900.329989098</v>
      </c>
      <c r="L40" s="111">
        <v>58818900.329989098</v>
      </c>
      <c r="M40" s="110">
        <v>-10737.587302610305</v>
      </c>
      <c r="N40" s="112">
        <v>-10737587.302610306</v>
      </c>
      <c r="O40" s="112">
        <v>-10737587.302610306</v>
      </c>
      <c r="P40" s="195">
        <v>333149.19867000001</v>
      </c>
      <c r="Q40" s="195">
        <v>1332303.8182900001</v>
      </c>
      <c r="R40" s="89">
        <f t="shared" si="10"/>
        <v>33.530332963888888</v>
      </c>
      <c r="S40" s="89">
        <f t="shared" si="11"/>
        <v>133.38439396944443</v>
      </c>
      <c r="T40" s="163" t="s">
        <v>44</v>
      </c>
      <c r="U40" s="163">
        <v>19</v>
      </c>
      <c r="V40" s="124" t="s">
        <v>141</v>
      </c>
      <c r="W40" s="125" t="s">
        <v>141</v>
      </c>
      <c r="X40" s="126" t="s">
        <v>141</v>
      </c>
      <c r="Y40" s="127" t="s">
        <v>142</v>
      </c>
      <c r="Z40" s="127" t="s">
        <v>141</v>
      </c>
      <c r="AA40" s="127" t="s">
        <v>141</v>
      </c>
      <c r="AB40" s="127" t="s">
        <v>141</v>
      </c>
      <c r="AC40" s="127"/>
      <c r="AD40" s="123" t="s">
        <v>129</v>
      </c>
      <c r="AE40" s="168" t="str">
        <f>"a"&amp;U40</f>
        <v>a19</v>
      </c>
      <c r="AF40" s="80" t="str">
        <f>LOWER(I40)</f>
        <v>e0acf1ad7b78</v>
      </c>
      <c r="AG40" s="81" t="str">
        <f>MID(AF40,1,2)&amp;":"&amp;MID(AF40,3,2)&amp;":"&amp;MID(AF40,5,2)&amp;":"&amp;MID(AF40,7,2)&amp;":"&amp;MID(AF40,9,2)&amp;":"&amp;MID(AF40,11,2)</f>
        <v>e0:ac:f1:ad:7b:78</v>
      </c>
      <c r="AH40" s="99">
        <f>S40</f>
        <v>133.38439396944443</v>
      </c>
      <c r="AI40" s="99">
        <f>R40</f>
        <v>33.530332963888888</v>
      </c>
      <c r="AJ40" s="99">
        <v>0</v>
      </c>
      <c r="AK40" s="100">
        <v>-75</v>
      </c>
      <c r="AL40" s="100" t="s">
        <v>136</v>
      </c>
      <c r="AM40" s="155" t="s">
        <v>240</v>
      </c>
      <c r="AN40" s="172">
        <f>U40</f>
        <v>19</v>
      </c>
      <c r="AO40" s="329" t="s">
        <v>153</v>
      </c>
      <c r="AP40" s="173">
        <f>AH40</f>
        <v>133.38439396944443</v>
      </c>
      <c r="AQ40" s="173">
        <f>AI40</f>
        <v>33.530332963888888</v>
      </c>
      <c r="AR40" s="173">
        <v>15</v>
      </c>
      <c r="AS40" s="173" t="s">
        <v>158</v>
      </c>
      <c r="AT40" s="174" t="str">
        <f>AN38&amp;","&amp;AN41</f>
        <v>18,20</v>
      </c>
      <c r="AU40" s="155" t="s">
        <v>241</v>
      </c>
    </row>
    <row r="41" spans="1:47">
      <c r="A41" s="390">
        <v>648.20000000000005</v>
      </c>
      <c r="B41" s="155" t="s">
        <v>240</v>
      </c>
      <c r="C41" s="24" t="s">
        <v>55</v>
      </c>
      <c r="D41" s="39" t="s">
        <v>19</v>
      </c>
      <c r="E41" s="25">
        <v>423.2</v>
      </c>
      <c r="F41" s="25">
        <v>648.20000000000005</v>
      </c>
      <c r="G41" s="25">
        <v>0</v>
      </c>
      <c r="H41" s="24" t="s">
        <v>63</v>
      </c>
      <c r="I41" s="24" t="s">
        <v>63</v>
      </c>
      <c r="J41" s="33">
        <v>58786.87467551032</v>
      </c>
      <c r="K41" s="34">
        <f>J41*1000</f>
        <v>58786874.675510317</v>
      </c>
      <c r="L41" s="34">
        <v>58786874.675510302</v>
      </c>
      <c r="M41" s="33">
        <v>-10700.241505803535</v>
      </c>
      <c r="N41" s="38"/>
      <c r="O41" s="38"/>
      <c r="P41" s="200">
        <v>333148.16045000002</v>
      </c>
      <c r="Q41" s="201">
        <v>1332305.26716</v>
      </c>
      <c r="R41" s="27">
        <f t="shared" si="10"/>
        <v>33.530044569444442</v>
      </c>
      <c r="S41" s="27">
        <f t="shared" si="11"/>
        <v>133.38479643333332</v>
      </c>
      <c r="T41" s="392" t="s">
        <v>45</v>
      </c>
      <c r="U41" s="392">
        <v>20</v>
      </c>
      <c r="V41" s="35" t="s">
        <v>103</v>
      </c>
      <c r="W41" s="35">
        <v>1</v>
      </c>
      <c r="X41" s="58" t="str">
        <f>D41</f>
        <v>19</v>
      </c>
      <c r="Y41" s="27">
        <f>S41</f>
        <v>133.38479643333332</v>
      </c>
      <c r="Z41" s="27">
        <f>R41</f>
        <v>33.530044569444442</v>
      </c>
      <c r="AA41" s="35">
        <v>-10</v>
      </c>
      <c r="AB41" s="72">
        <v>-70</v>
      </c>
      <c r="AC41" s="181" t="s">
        <v>174</v>
      </c>
      <c r="AD41" s="155" t="s">
        <v>240</v>
      </c>
      <c r="AE41" s="165" t="s">
        <v>141</v>
      </c>
      <c r="AF41" s="125" t="s">
        <v>141</v>
      </c>
      <c r="AG41" s="126" t="s">
        <v>141</v>
      </c>
      <c r="AH41" s="127" t="s">
        <v>142</v>
      </c>
      <c r="AI41" s="127" t="s">
        <v>141</v>
      </c>
      <c r="AJ41" s="127" t="s">
        <v>141</v>
      </c>
      <c r="AK41" s="128" t="s">
        <v>141</v>
      </c>
      <c r="AL41" s="129" t="s">
        <v>141</v>
      </c>
      <c r="AM41" s="123" t="s">
        <v>129</v>
      </c>
      <c r="AN41" s="399">
        <f>U41</f>
        <v>20</v>
      </c>
      <c r="AO41" s="388" t="s">
        <v>153</v>
      </c>
      <c r="AP41" s="398">
        <f>Y41</f>
        <v>133.38479643333332</v>
      </c>
      <c r="AQ41" s="398">
        <f>Z41</f>
        <v>33.530044569444442</v>
      </c>
      <c r="AR41" s="398">
        <v>15</v>
      </c>
      <c r="AS41" s="389" t="s">
        <v>158</v>
      </c>
      <c r="AT41" s="384" t="str">
        <f>AN40&amp;","&amp;AN43</f>
        <v>19,21</v>
      </c>
      <c r="AU41" s="155" t="s">
        <v>241</v>
      </c>
    </row>
    <row r="42" spans="1:47">
      <c r="A42" s="391"/>
      <c r="B42" s="155" t="s">
        <v>240</v>
      </c>
      <c r="C42" s="24" t="s">
        <v>55</v>
      </c>
      <c r="D42" s="39" t="s">
        <v>20</v>
      </c>
      <c r="E42" s="25">
        <v>423.2</v>
      </c>
      <c r="F42" s="25">
        <v>648.20000000000005</v>
      </c>
      <c r="G42" s="25">
        <v>0</v>
      </c>
      <c r="H42" s="24" t="s">
        <v>63</v>
      </c>
      <c r="I42" s="24" t="s">
        <v>63</v>
      </c>
      <c r="J42" s="33">
        <v>58786.87467551032</v>
      </c>
      <c r="K42" s="34">
        <f>J42*1000</f>
        <v>58786874.675510317</v>
      </c>
      <c r="L42" s="34">
        <v>58786874.675510317</v>
      </c>
      <c r="M42" s="33">
        <v>-10700.241505803535</v>
      </c>
      <c r="N42" s="38"/>
      <c r="O42" s="38"/>
      <c r="P42" s="200">
        <v>333148.16045000002</v>
      </c>
      <c r="Q42" s="201">
        <v>1332305.26716</v>
      </c>
      <c r="R42" s="27">
        <f t="shared" si="10"/>
        <v>33.530044569444442</v>
      </c>
      <c r="S42" s="27">
        <f t="shared" si="11"/>
        <v>133.38479643333332</v>
      </c>
      <c r="T42" s="393"/>
      <c r="U42" s="393"/>
      <c r="V42" s="35" t="s">
        <v>104</v>
      </c>
      <c r="W42" s="35">
        <v>1</v>
      </c>
      <c r="X42" s="58" t="str">
        <f>D42</f>
        <v>20</v>
      </c>
      <c r="Y42" s="27">
        <f>S42</f>
        <v>133.38479643333332</v>
      </c>
      <c r="Z42" s="27">
        <f>R42</f>
        <v>33.530044569444442</v>
      </c>
      <c r="AA42" s="35">
        <v>-10</v>
      </c>
      <c r="AB42" s="72">
        <v>-70</v>
      </c>
      <c r="AC42" s="181" t="s">
        <v>174</v>
      </c>
      <c r="AD42" s="155" t="s">
        <v>240</v>
      </c>
      <c r="AE42" s="165" t="s">
        <v>141</v>
      </c>
      <c r="AF42" s="125" t="s">
        <v>141</v>
      </c>
      <c r="AG42" s="126" t="s">
        <v>141</v>
      </c>
      <c r="AH42" s="127" t="s">
        <v>142</v>
      </c>
      <c r="AI42" s="127" t="s">
        <v>141</v>
      </c>
      <c r="AJ42" s="127" t="s">
        <v>141</v>
      </c>
      <c r="AK42" s="128" t="s">
        <v>141</v>
      </c>
      <c r="AL42" s="129" t="s">
        <v>141</v>
      </c>
      <c r="AM42" s="123" t="s">
        <v>129</v>
      </c>
      <c r="AN42" s="399"/>
      <c r="AO42" s="381"/>
      <c r="AP42" s="383"/>
      <c r="AQ42" s="383"/>
      <c r="AR42" s="383"/>
      <c r="AS42" s="385"/>
      <c r="AT42" s="385"/>
      <c r="AU42" s="155" t="s">
        <v>241</v>
      </c>
    </row>
    <row r="43" spans="1:47">
      <c r="A43" s="273"/>
      <c r="B43" s="155" t="s">
        <v>240</v>
      </c>
      <c r="C43" s="106" t="s">
        <v>54</v>
      </c>
      <c r="D43" s="107">
        <v>12</v>
      </c>
      <c r="E43" s="108"/>
      <c r="F43" s="109">
        <v>695</v>
      </c>
      <c r="G43" s="109">
        <v>0</v>
      </c>
      <c r="H43" s="106">
        <v>116</v>
      </c>
      <c r="I43" s="106" t="s">
        <v>127</v>
      </c>
      <c r="J43" s="110">
        <v>58755.950059605704</v>
      </c>
      <c r="K43" s="111">
        <v>58755950.059605703</v>
      </c>
      <c r="L43" s="111">
        <v>58755950.059605703</v>
      </c>
      <c r="M43" s="110">
        <v>-10666.733074956403</v>
      </c>
      <c r="N43" s="112">
        <v>-10666733.074956402</v>
      </c>
      <c r="O43" s="112">
        <v>-10666733.074956402</v>
      </c>
      <c r="P43" s="195">
        <v>333147.15781</v>
      </c>
      <c r="Q43" s="195">
        <v>1332306.5672500001</v>
      </c>
      <c r="R43" s="89">
        <f t="shared" si="10"/>
        <v>33.52976605833333</v>
      </c>
      <c r="S43" s="89">
        <f t="shared" si="11"/>
        <v>133.38515756944443</v>
      </c>
      <c r="T43" s="167" t="s">
        <v>46</v>
      </c>
      <c r="U43" s="167">
        <v>21</v>
      </c>
      <c r="V43" s="124" t="s">
        <v>141</v>
      </c>
      <c r="W43" s="125" t="s">
        <v>141</v>
      </c>
      <c r="X43" s="126" t="s">
        <v>141</v>
      </c>
      <c r="Y43" s="127" t="s">
        <v>142</v>
      </c>
      <c r="Z43" s="127" t="s">
        <v>141</v>
      </c>
      <c r="AA43" s="127" t="s">
        <v>141</v>
      </c>
      <c r="AB43" s="127" t="s">
        <v>141</v>
      </c>
      <c r="AC43" s="127"/>
      <c r="AD43" s="123" t="s">
        <v>129</v>
      </c>
      <c r="AE43" s="168" t="str">
        <f>"a"&amp;U43</f>
        <v>a21</v>
      </c>
      <c r="AF43" s="80" t="str">
        <f>LOWER(I43)</f>
        <v>e0acf1ad8ad8</v>
      </c>
      <c r="AG43" s="81" t="str">
        <f>MID(AF43,1,2)&amp;":"&amp;MID(AF43,3,2)&amp;":"&amp;MID(AF43,5,2)&amp;":"&amp;MID(AF43,7,2)&amp;":"&amp;MID(AF43,9,2)&amp;":"&amp;MID(AF43,11,2)</f>
        <v>e0:ac:f1:ad:8a:d8</v>
      </c>
      <c r="AH43" s="103">
        <f>S43</f>
        <v>133.38515756944443</v>
      </c>
      <c r="AI43" s="103">
        <f>R43</f>
        <v>33.52976605833333</v>
      </c>
      <c r="AJ43" s="99">
        <v>0</v>
      </c>
      <c r="AK43" s="104">
        <v>-75</v>
      </c>
      <c r="AL43" s="105" t="s">
        <v>137</v>
      </c>
      <c r="AM43" s="155" t="s">
        <v>240</v>
      </c>
      <c r="AN43" s="172">
        <f>U43</f>
        <v>21</v>
      </c>
      <c r="AO43" s="329" t="s">
        <v>153</v>
      </c>
      <c r="AP43" s="173">
        <f>AH43</f>
        <v>133.38515756944443</v>
      </c>
      <c r="AQ43" s="173">
        <f>AI43</f>
        <v>33.52976605833333</v>
      </c>
      <c r="AR43" s="173">
        <v>15</v>
      </c>
      <c r="AS43" s="173" t="s">
        <v>158</v>
      </c>
      <c r="AT43" s="174" t="str">
        <f>AN41&amp;","&amp;AN44</f>
        <v>20,22</v>
      </c>
      <c r="AU43" s="155" t="s">
        <v>241</v>
      </c>
    </row>
    <row r="44" spans="1:47">
      <c r="A44" s="390">
        <v>747.8</v>
      </c>
      <c r="B44" s="155" t="s">
        <v>240</v>
      </c>
      <c r="C44" s="24" t="s">
        <v>55</v>
      </c>
      <c r="D44" s="39" t="s">
        <v>21</v>
      </c>
      <c r="E44" s="25">
        <v>522.79999999999995</v>
      </c>
      <c r="F44" s="25">
        <v>747.8</v>
      </c>
      <c r="G44" s="25">
        <v>0</v>
      </c>
      <c r="H44" s="24" t="s">
        <v>63</v>
      </c>
      <c r="I44" s="24" t="s">
        <v>63</v>
      </c>
      <c r="J44" s="33">
        <v>58717.836740127837</v>
      </c>
      <c r="K44" s="34">
        <f>J44*1000</f>
        <v>58717836.740127839</v>
      </c>
      <c r="L44" s="34">
        <v>58717836.740127802</v>
      </c>
      <c r="M44" s="33">
        <v>-10628.484472110429</v>
      </c>
      <c r="N44" s="38"/>
      <c r="O44" s="38"/>
      <c r="P44" s="200">
        <v>333145.92200000002</v>
      </c>
      <c r="Q44" s="201">
        <v>1332308.0513500001</v>
      </c>
      <c r="R44" s="27">
        <f t="shared" si="10"/>
        <v>33.529422777777775</v>
      </c>
      <c r="S44" s="27">
        <f t="shared" si="11"/>
        <v>133.38556981944444</v>
      </c>
      <c r="T44" s="418" t="s">
        <v>47</v>
      </c>
      <c r="U44" s="418">
        <v>22</v>
      </c>
      <c r="V44" s="35" t="s">
        <v>105</v>
      </c>
      <c r="W44" s="35">
        <v>1</v>
      </c>
      <c r="X44" s="58" t="str">
        <f>D44</f>
        <v>21</v>
      </c>
      <c r="Y44" s="35">
        <f>S44</f>
        <v>133.38556981944444</v>
      </c>
      <c r="Z44" s="35">
        <f>R44</f>
        <v>33.529422777777775</v>
      </c>
      <c r="AA44" s="35">
        <v>-10</v>
      </c>
      <c r="AB44" s="72">
        <v>-70</v>
      </c>
      <c r="AC44" s="181" t="s">
        <v>174</v>
      </c>
      <c r="AD44" s="155" t="s">
        <v>240</v>
      </c>
      <c r="AE44" s="165" t="s">
        <v>141</v>
      </c>
      <c r="AF44" s="125" t="s">
        <v>141</v>
      </c>
      <c r="AG44" s="126" t="s">
        <v>141</v>
      </c>
      <c r="AH44" s="127" t="s">
        <v>142</v>
      </c>
      <c r="AI44" s="127" t="s">
        <v>141</v>
      </c>
      <c r="AJ44" s="127" t="s">
        <v>141</v>
      </c>
      <c r="AK44" s="128" t="s">
        <v>141</v>
      </c>
      <c r="AL44" s="129" t="s">
        <v>141</v>
      </c>
      <c r="AM44" s="123" t="s">
        <v>129</v>
      </c>
      <c r="AN44" s="399">
        <f>U44</f>
        <v>22</v>
      </c>
      <c r="AO44" s="388" t="s">
        <v>153</v>
      </c>
      <c r="AP44" s="398">
        <f>Y44</f>
        <v>133.38556981944444</v>
      </c>
      <c r="AQ44" s="398">
        <f>Z44</f>
        <v>33.529422777777775</v>
      </c>
      <c r="AR44" s="398">
        <v>15</v>
      </c>
      <c r="AS44" s="389" t="s">
        <v>158</v>
      </c>
      <c r="AT44" s="384" t="str">
        <f>AN43&amp;","&amp;AN46</f>
        <v>21,23</v>
      </c>
      <c r="AU44" s="155" t="s">
        <v>241</v>
      </c>
    </row>
    <row r="45" spans="1:47">
      <c r="A45" s="391"/>
      <c r="B45" s="155" t="s">
        <v>240</v>
      </c>
      <c r="C45" s="24" t="s">
        <v>55</v>
      </c>
      <c r="D45" s="39" t="s">
        <v>22</v>
      </c>
      <c r="E45" s="25">
        <v>522.79999999999995</v>
      </c>
      <c r="F45" s="25">
        <v>747.8</v>
      </c>
      <c r="G45" s="25">
        <v>0</v>
      </c>
      <c r="H45" s="24" t="s">
        <v>63</v>
      </c>
      <c r="I45" s="24" t="s">
        <v>63</v>
      </c>
      <c r="J45" s="33">
        <v>58717.836740127837</v>
      </c>
      <c r="K45" s="34">
        <f>J45*1000</f>
        <v>58717836.740127839</v>
      </c>
      <c r="L45" s="34">
        <v>58717836.740127839</v>
      </c>
      <c r="M45" s="33">
        <v>-10628.484472110429</v>
      </c>
      <c r="N45" s="38"/>
      <c r="O45" s="38"/>
      <c r="P45" s="200">
        <v>333145.92200000002</v>
      </c>
      <c r="Q45" s="201">
        <v>1332308.0513500001</v>
      </c>
      <c r="R45" s="27">
        <f t="shared" si="10"/>
        <v>33.529422777777775</v>
      </c>
      <c r="S45" s="27">
        <f t="shared" si="11"/>
        <v>133.38556981944444</v>
      </c>
      <c r="T45" s="418"/>
      <c r="U45" s="418"/>
      <c r="V45" s="35" t="s">
        <v>106</v>
      </c>
      <c r="W45" s="35">
        <v>1</v>
      </c>
      <c r="X45" s="58" t="str">
        <f>D45</f>
        <v>22</v>
      </c>
      <c r="Y45" s="35">
        <f>S45</f>
        <v>133.38556981944444</v>
      </c>
      <c r="Z45" s="35">
        <f>R45</f>
        <v>33.529422777777775</v>
      </c>
      <c r="AA45" s="35">
        <v>-10</v>
      </c>
      <c r="AB45" s="72">
        <v>-70</v>
      </c>
      <c r="AC45" s="181" t="s">
        <v>174</v>
      </c>
      <c r="AD45" s="155" t="s">
        <v>240</v>
      </c>
      <c r="AE45" s="165" t="s">
        <v>141</v>
      </c>
      <c r="AF45" s="125" t="s">
        <v>141</v>
      </c>
      <c r="AG45" s="126" t="s">
        <v>141</v>
      </c>
      <c r="AH45" s="127" t="s">
        <v>142</v>
      </c>
      <c r="AI45" s="127" t="s">
        <v>141</v>
      </c>
      <c r="AJ45" s="127" t="s">
        <v>141</v>
      </c>
      <c r="AK45" s="128" t="s">
        <v>141</v>
      </c>
      <c r="AL45" s="129" t="s">
        <v>141</v>
      </c>
      <c r="AM45" s="123" t="s">
        <v>129</v>
      </c>
      <c r="AN45" s="399"/>
      <c r="AO45" s="381"/>
      <c r="AP45" s="383"/>
      <c r="AQ45" s="383"/>
      <c r="AR45" s="383"/>
      <c r="AS45" s="385"/>
      <c r="AT45" s="385"/>
      <c r="AU45" s="155" t="s">
        <v>241</v>
      </c>
    </row>
    <row r="46" spans="1:47">
      <c r="A46" s="277"/>
      <c r="B46" s="155" t="s">
        <v>240</v>
      </c>
      <c r="C46" s="106" t="s">
        <v>54</v>
      </c>
      <c r="D46" s="107">
        <v>14</v>
      </c>
      <c r="E46" s="108"/>
      <c r="F46" s="109">
        <v>786.2</v>
      </c>
      <c r="G46" s="109">
        <v>0</v>
      </c>
      <c r="H46" s="106">
        <v>117</v>
      </c>
      <c r="I46" s="106" t="s">
        <v>181</v>
      </c>
      <c r="J46" s="110">
        <v>58689.783644188174</v>
      </c>
      <c r="K46" s="111">
        <v>58689783.644188173</v>
      </c>
      <c r="L46" s="111">
        <v>58689783.644188203</v>
      </c>
      <c r="M46" s="110">
        <v>-10602.264697207076</v>
      </c>
      <c r="N46" s="112">
        <v>-10602264.697207076</v>
      </c>
      <c r="O46" s="112">
        <v>-10602264.697207101</v>
      </c>
      <c r="P46" s="195">
        <v>333145.01231000002</v>
      </c>
      <c r="Q46" s="195">
        <v>1332309.0688</v>
      </c>
      <c r="R46" s="89">
        <f t="shared" si="10"/>
        <v>33.529170086111108</v>
      </c>
      <c r="S46" s="89">
        <f t="shared" si="11"/>
        <v>133.38585244444442</v>
      </c>
      <c r="T46" s="149" t="s">
        <v>48</v>
      </c>
      <c r="U46" s="167">
        <v>23</v>
      </c>
      <c r="V46" s="124" t="s">
        <v>141</v>
      </c>
      <c r="W46" s="125" t="s">
        <v>141</v>
      </c>
      <c r="X46" s="126" t="s">
        <v>141</v>
      </c>
      <c r="Y46" s="127" t="s">
        <v>142</v>
      </c>
      <c r="Z46" s="127" t="s">
        <v>141</v>
      </c>
      <c r="AA46" s="127" t="s">
        <v>141</v>
      </c>
      <c r="AB46" s="127" t="s">
        <v>141</v>
      </c>
      <c r="AC46" s="127"/>
      <c r="AD46" s="123" t="s">
        <v>129</v>
      </c>
      <c r="AE46" s="168" t="str">
        <f>"a"&amp;U46</f>
        <v>a23</v>
      </c>
      <c r="AF46" s="80" t="str">
        <f>LOWER(I46)</f>
        <v>e0acf1ad6fa0</v>
      </c>
      <c r="AG46" s="81" t="str">
        <f>MID(AF46,1,2)&amp;":"&amp;MID(AF46,3,2)&amp;":"&amp;MID(AF46,5,2)&amp;":"&amp;MID(AF46,7,2)&amp;":"&amp;MID(AF46,9,2)&amp;":"&amp;MID(AF46,11,2)</f>
        <v>e0:ac:f1:ad:6f:a0</v>
      </c>
      <c r="AH46" s="99">
        <f>S46</f>
        <v>133.38585244444442</v>
      </c>
      <c r="AI46" s="99">
        <f>R46</f>
        <v>33.529170086111108</v>
      </c>
      <c r="AJ46" s="99">
        <v>0</v>
      </c>
      <c r="AK46" s="104">
        <v>-75</v>
      </c>
      <c r="AL46" s="100" t="s">
        <v>138</v>
      </c>
      <c r="AM46" s="155" t="s">
        <v>240</v>
      </c>
      <c r="AN46" s="172">
        <f>U46</f>
        <v>23</v>
      </c>
      <c r="AO46" s="329" t="s">
        <v>153</v>
      </c>
      <c r="AP46" s="173">
        <f>AH46</f>
        <v>133.38585244444442</v>
      </c>
      <c r="AQ46" s="173">
        <f>AI46</f>
        <v>33.529170086111108</v>
      </c>
      <c r="AR46" s="173">
        <v>15</v>
      </c>
      <c r="AS46" s="173" t="s">
        <v>158</v>
      </c>
      <c r="AT46" s="174" t="str">
        <f>AN44&amp;","&amp;AN47</f>
        <v>22,24</v>
      </c>
      <c r="AU46" s="155" t="s">
        <v>241</v>
      </c>
    </row>
    <row r="47" spans="1:47">
      <c r="A47" s="390">
        <v>818</v>
      </c>
      <c r="B47" s="155" t="s">
        <v>240</v>
      </c>
      <c r="C47" s="24" t="s">
        <v>55</v>
      </c>
      <c r="D47" s="39" t="s">
        <v>23</v>
      </c>
      <c r="E47" s="25">
        <v>593</v>
      </c>
      <c r="F47" s="25">
        <v>818</v>
      </c>
      <c r="G47" s="25">
        <v>0</v>
      </c>
      <c r="H47" s="24" t="s">
        <v>63</v>
      </c>
      <c r="I47" s="24" t="s">
        <v>63</v>
      </c>
      <c r="J47" s="33">
        <v>58665.974182938728</v>
      </c>
      <c r="K47" s="34">
        <f>J47*1000</f>
        <v>58665974.182938725</v>
      </c>
      <c r="L47" s="34">
        <v>58665974.182938702</v>
      </c>
      <c r="M47" s="33">
        <v>-10581.186292816623</v>
      </c>
      <c r="N47" s="38"/>
      <c r="O47" s="38"/>
      <c r="P47" s="200">
        <v>333144.24018999998</v>
      </c>
      <c r="Q47" s="201">
        <v>1332309.8867899999</v>
      </c>
      <c r="R47" s="27">
        <f t="shared" si="10"/>
        <v>33.528955608333334</v>
      </c>
      <c r="S47" s="27">
        <f t="shared" si="11"/>
        <v>133.38607966388889</v>
      </c>
      <c r="T47" s="392" t="s">
        <v>50</v>
      </c>
      <c r="U47" s="392">
        <v>24</v>
      </c>
      <c r="V47" s="35" t="s">
        <v>107</v>
      </c>
      <c r="W47" s="35">
        <v>1</v>
      </c>
      <c r="X47" s="58" t="str">
        <f>D47</f>
        <v>23</v>
      </c>
      <c r="Y47" s="35">
        <f>S47</f>
        <v>133.38607966388889</v>
      </c>
      <c r="Z47" s="35">
        <f>R47</f>
        <v>33.528955608333334</v>
      </c>
      <c r="AA47" s="35">
        <v>-10</v>
      </c>
      <c r="AB47" s="72">
        <v>-70</v>
      </c>
      <c r="AC47" s="181" t="s">
        <v>174</v>
      </c>
      <c r="AD47" s="155" t="s">
        <v>240</v>
      </c>
      <c r="AE47" s="165" t="s">
        <v>141</v>
      </c>
      <c r="AF47" s="125" t="s">
        <v>141</v>
      </c>
      <c r="AG47" s="126" t="s">
        <v>141</v>
      </c>
      <c r="AH47" s="127" t="s">
        <v>142</v>
      </c>
      <c r="AI47" s="127" t="s">
        <v>141</v>
      </c>
      <c r="AJ47" s="127" t="s">
        <v>141</v>
      </c>
      <c r="AK47" s="128" t="s">
        <v>141</v>
      </c>
      <c r="AL47" s="129" t="s">
        <v>141</v>
      </c>
      <c r="AM47" s="123" t="s">
        <v>129</v>
      </c>
      <c r="AN47" s="399">
        <f>U47</f>
        <v>24</v>
      </c>
      <c r="AO47" s="388" t="s">
        <v>153</v>
      </c>
      <c r="AP47" s="398">
        <f>Y47</f>
        <v>133.38607966388889</v>
      </c>
      <c r="AQ47" s="398">
        <f>Z47</f>
        <v>33.528955608333334</v>
      </c>
      <c r="AR47" s="398">
        <v>15</v>
      </c>
      <c r="AS47" s="389" t="s">
        <v>158</v>
      </c>
      <c r="AT47" s="384" t="str">
        <f>AN46&amp;","&amp;AN49</f>
        <v>23,25</v>
      </c>
      <c r="AU47" s="155" t="s">
        <v>241</v>
      </c>
    </row>
    <row r="48" spans="1:47">
      <c r="A48" s="391"/>
      <c r="B48" s="155" t="s">
        <v>240</v>
      </c>
      <c r="C48" s="24" t="s">
        <v>55</v>
      </c>
      <c r="D48" s="39" t="s">
        <v>24</v>
      </c>
      <c r="E48" s="25">
        <v>593</v>
      </c>
      <c r="F48" s="25">
        <v>818</v>
      </c>
      <c r="G48" s="25">
        <v>0</v>
      </c>
      <c r="H48" s="24" t="s">
        <v>63</v>
      </c>
      <c r="I48" s="24" t="s">
        <v>63</v>
      </c>
      <c r="J48" s="33">
        <v>58665.974182938728</v>
      </c>
      <c r="K48" s="34">
        <f>J48*1000</f>
        <v>58665974.182938725</v>
      </c>
      <c r="L48" s="34">
        <v>58665974.182938725</v>
      </c>
      <c r="M48" s="33">
        <v>-10581.186292816623</v>
      </c>
      <c r="N48" s="38"/>
      <c r="O48" s="38"/>
      <c r="P48" s="200">
        <v>333144.24018999998</v>
      </c>
      <c r="Q48" s="201">
        <v>1332309.8867899999</v>
      </c>
      <c r="R48" s="27">
        <f t="shared" si="10"/>
        <v>33.528955608333334</v>
      </c>
      <c r="S48" s="27">
        <f t="shared" si="11"/>
        <v>133.38607966388889</v>
      </c>
      <c r="T48" s="393"/>
      <c r="U48" s="393"/>
      <c r="V48" s="35" t="s">
        <v>108</v>
      </c>
      <c r="W48" s="35">
        <v>1</v>
      </c>
      <c r="X48" s="58" t="str">
        <f>D48</f>
        <v>24</v>
      </c>
      <c r="Y48" s="35">
        <f>S48</f>
        <v>133.38607966388889</v>
      </c>
      <c r="Z48" s="35">
        <f>R48</f>
        <v>33.528955608333334</v>
      </c>
      <c r="AA48" s="35">
        <v>-10</v>
      </c>
      <c r="AB48" s="72">
        <v>-70</v>
      </c>
      <c r="AC48" s="181" t="s">
        <v>174</v>
      </c>
      <c r="AD48" s="155" t="s">
        <v>240</v>
      </c>
      <c r="AE48" s="165" t="s">
        <v>141</v>
      </c>
      <c r="AF48" s="125" t="s">
        <v>141</v>
      </c>
      <c r="AG48" s="126" t="s">
        <v>141</v>
      </c>
      <c r="AH48" s="127" t="s">
        <v>142</v>
      </c>
      <c r="AI48" s="127" t="s">
        <v>141</v>
      </c>
      <c r="AJ48" s="127" t="s">
        <v>141</v>
      </c>
      <c r="AK48" s="128" t="s">
        <v>141</v>
      </c>
      <c r="AL48" s="129" t="s">
        <v>141</v>
      </c>
      <c r="AM48" s="123" t="s">
        <v>129</v>
      </c>
      <c r="AN48" s="399"/>
      <c r="AO48" s="381"/>
      <c r="AP48" s="383"/>
      <c r="AQ48" s="383"/>
      <c r="AR48" s="383"/>
      <c r="AS48" s="385"/>
      <c r="AT48" s="385"/>
      <c r="AU48" s="155" t="s">
        <v>241</v>
      </c>
    </row>
    <row r="49" spans="1:47">
      <c r="A49" s="273"/>
      <c r="B49" s="155" t="s">
        <v>240</v>
      </c>
      <c r="C49" s="106" t="s">
        <v>54</v>
      </c>
      <c r="D49" s="107">
        <v>15</v>
      </c>
      <c r="E49" s="108"/>
      <c r="F49" s="109">
        <v>849</v>
      </c>
      <c r="G49" s="109">
        <v>0</v>
      </c>
      <c r="H49" s="106">
        <v>120</v>
      </c>
      <c r="I49" s="106" t="s">
        <v>71</v>
      </c>
      <c r="J49" s="110">
        <v>58642.274174639737</v>
      </c>
      <c r="K49" s="111">
        <v>58642274.174639739</v>
      </c>
      <c r="L49" s="111">
        <v>58642274.174639702</v>
      </c>
      <c r="M49" s="110">
        <v>-10561.204699562193</v>
      </c>
      <c r="N49" s="112">
        <v>-10561204.699562194</v>
      </c>
      <c r="O49" s="112">
        <v>-10561204.699562194</v>
      </c>
      <c r="P49" s="195">
        <v>333143.47158000001</v>
      </c>
      <c r="Q49" s="195">
        <v>1332310.6622500001</v>
      </c>
      <c r="R49" s="89">
        <f t="shared" si="10"/>
        <v>33.528742105555551</v>
      </c>
      <c r="S49" s="89">
        <f t="shared" si="11"/>
        <v>133.38629506944443</v>
      </c>
      <c r="T49" s="149" t="s">
        <v>51</v>
      </c>
      <c r="U49" s="149">
        <v>25</v>
      </c>
      <c r="V49" s="124" t="s">
        <v>141</v>
      </c>
      <c r="W49" s="125" t="s">
        <v>141</v>
      </c>
      <c r="X49" s="126" t="s">
        <v>141</v>
      </c>
      <c r="Y49" s="127" t="s">
        <v>142</v>
      </c>
      <c r="Z49" s="127" t="s">
        <v>141</v>
      </c>
      <c r="AA49" s="127" t="s">
        <v>141</v>
      </c>
      <c r="AB49" s="127" t="s">
        <v>141</v>
      </c>
      <c r="AC49" s="127"/>
      <c r="AD49" s="123" t="s">
        <v>129</v>
      </c>
      <c r="AE49" s="168" t="str">
        <f>"a"&amp;U49</f>
        <v>a25</v>
      </c>
      <c r="AF49" s="80" t="str">
        <f>LOWER(I49)</f>
        <v>00ebd55ec998</v>
      </c>
      <c r="AG49" s="81" t="str">
        <f>MID(AF49,1,2)&amp;":"&amp;MID(AF49,3,2)&amp;":"&amp;MID(AF49,5,2)&amp;":"&amp;MID(AF49,7,2)&amp;":"&amp;MID(AF49,9,2)&amp;":"&amp;MID(AF49,11,2)</f>
        <v>00:eb:d5:5e:c9:98</v>
      </c>
      <c r="AH49" s="99">
        <f>S49</f>
        <v>133.38629506944443</v>
      </c>
      <c r="AI49" s="99">
        <f>R49</f>
        <v>33.528742105555551</v>
      </c>
      <c r="AJ49" s="99">
        <v>0</v>
      </c>
      <c r="AK49" s="104">
        <v>-75</v>
      </c>
      <c r="AL49" s="100" t="s">
        <v>140</v>
      </c>
      <c r="AM49" s="155" t="s">
        <v>240</v>
      </c>
      <c r="AN49" s="172">
        <f>U49</f>
        <v>25</v>
      </c>
      <c r="AO49" s="329" t="s">
        <v>153</v>
      </c>
      <c r="AP49" s="173">
        <f>AH49</f>
        <v>133.38629506944443</v>
      </c>
      <c r="AQ49" s="173">
        <f>AI49</f>
        <v>33.528742105555551</v>
      </c>
      <c r="AR49" s="173">
        <v>15</v>
      </c>
      <c r="AS49" s="173" t="s">
        <v>158</v>
      </c>
      <c r="AT49" s="174" t="str">
        <f>AN47&amp;","&amp;AN50</f>
        <v>24,26</v>
      </c>
      <c r="AU49" s="155" t="s">
        <v>241</v>
      </c>
    </row>
    <row r="50" spans="1:47">
      <c r="A50" s="390">
        <v>899</v>
      </c>
      <c r="B50" s="155" t="s">
        <v>240</v>
      </c>
      <c r="C50" s="24" t="s">
        <v>55</v>
      </c>
      <c r="D50" s="39">
        <v>25</v>
      </c>
      <c r="E50" s="25">
        <v>674</v>
      </c>
      <c r="F50" s="25">
        <v>899</v>
      </c>
      <c r="G50" s="25">
        <v>0</v>
      </c>
      <c r="H50" s="24" t="s">
        <v>63</v>
      </c>
      <c r="I50" s="24" t="s">
        <v>63</v>
      </c>
      <c r="J50" s="33">
        <v>58603.064515916652</v>
      </c>
      <c r="K50" s="34">
        <f>J50*1000</f>
        <v>58603064.515916653</v>
      </c>
      <c r="L50" s="34">
        <v>58603064.515916698</v>
      </c>
      <c r="M50" s="33">
        <v>-10530.183827675246</v>
      </c>
      <c r="N50" s="38"/>
      <c r="O50" s="38"/>
      <c r="P50" s="200">
        <v>333142.19990000001</v>
      </c>
      <c r="Q50" s="201">
        <v>1332311.8662399999</v>
      </c>
      <c r="R50" s="27">
        <f t="shared" si="10"/>
        <v>33.528388861111111</v>
      </c>
      <c r="S50" s="27">
        <f t="shared" si="11"/>
        <v>133.3866295111111</v>
      </c>
      <c r="T50" s="419" t="s">
        <v>52</v>
      </c>
      <c r="U50" s="392">
        <v>26</v>
      </c>
      <c r="V50" s="35" t="s">
        <v>109</v>
      </c>
      <c r="W50" s="35">
        <v>1</v>
      </c>
      <c r="X50" s="58">
        <f>D50</f>
        <v>25</v>
      </c>
      <c r="Y50" s="35">
        <f>S50</f>
        <v>133.3866295111111</v>
      </c>
      <c r="Z50" s="35">
        <f>R50</f>
        <v>33.528388861111111</v>
      </c>
      <c r="AA50" s="35">
        <v>-10</v>
      </c>
      <c r="AB50" s="72">
        <v>-70</v>
      </c>
      <c r="AC50" s="181" t="s">
        <v>174</v>
      </c>
      <c r="AD50" s="155" t="s">
        <v>240</v>
      </c>
      <c r="AE50" s="165" t="s">
        <v>141</v>
      </c>
      <c r="AF50" s="125" t="s">
        <v>141</v>
      </c>
      <c r="AG50" s="126" t="s">
        <v>141</v>
      </c>
      <c r="AH50" s="127" t="s">
        <v>142</v>
      </c>
      <c r="AI50" s="127" t="s">
        <v>141</v>
      </c>
      <c r="AJ50" s="127" t="s">
        <v>141</v>
      </c>
      <c r="AK50" s="128" t="s">
        <v>141</v>
      </c>
      <c r="AL50" s="129" t="s">
        <v>141</v>
      </c>
      <c r="AM50" s="123" t="s">
        <v>129</v>
      </c>
      <c r="AN50" s="399">
        <f>U50</f>
        <v>26</v>
      </c>
      <c r="AO50" s="388" t="s">
        <v>153</v>
      </c>
      <c r="AP50" s="398">
        <f>Y50</f>
        <v>133.3866295111111</v>
      </c>
      <c r="AQ50" s="398">
        <f>Z50</f>
        <v>33.528388861111111</v>
      </c>
      <c r="AR50" s="398">
        <v>15</v>
      </c>
      <c r="AS50" s="389" t="s">
        <v>158</v>
      </c>
      <c r="AT50" s="384" t="str">
        <f>AN49&amp;","&amp;AN52</f>
        <v>25,27</v>
      </c>
      <c r="AU50" s="155" t="s">
        <v>241</v>
      </c>
    </row>
    <row r="51" spans="1:47">
      <c r="A51" s="391"/>
      <c r="B51" s="155" t="s">
        <v>240</v>
      </c>
      <c r="C51" s="24" t="s">
        <v>55</v>
      </c>
      <c r="D51" s="39">
        <v>26</v>
      </c>
      <c r="E51" s="25">
        <v>674</v>
      </c>
      <c r="F51" s="25">
        <v>899</v>
      </c>
      <c r="G51" s="25">
        <v>0</v>
      </c>
      <c r="H51" s="24" t="s">
        <v>63</v>
      </c>
      <c r="I51" s="24" t="s">
        <v>63</v>
      </c>
      <c r="J51" s="33">
        <v>58603.064515916652</v>
      </c>
      <c r="K51" s="34">
        <f>J51*1000</f>
        <v>58603064.515916653</v>
      </c>
      <c r="L51" s="34">
        <v>58603064.515916653</v>
      </c>
      <c r="M51" s="33">
        <v>-10530.183827675246</v>
      </c>
      <c r="N51" s="38"/>
      <c r="O51" s="38"/>
      <c r="P51" s="200">
        <v>333142.19990000001</v>
      </c>
      <c r="Q51" s="201">
        <v>1332311.8662399999</v>
      </c>
      <c r="R51" s="27">
        <f t="shared" si="10"/>
        <v>33.528388861111111</v>
      </c>
      <c r="S51" s="27">
        <f t="shared" si="11"/>
        <v>133.3866295111111</v>
      </c>
      <c r="T51" s="393"/>
      <c r="U51" s="393"/>
      <c r="V51" s="35" t="s">
        <v>110</v>
      </c>
      <c r="W51" s="35">
        <v>1</v>
      </c>
      <c r="X51" s="58">
        <f>D51</f>
        <v>26</v>
      </c>
      <c r="Y51" s="35">
        <f>S51</f>
        <v>133.3866295111111</v>
      </c>
      <c r="Z51" s="35">
        <f>R51</f>
        <v>33.528388861111111</v>
      </c>
      <c r="AA51" s="35">
        <v>-10</v>
      </c>
      <c r="AB51" s="72">
        <v>-70</v>
      </c>
      <c r="AC51" s="181" t="s">
        <v>174</v>
      </c>
      <c r="AD51" s="155" t="s">
        <v>240</v>
      </c>
      <c r="AE51" s="165" t="s">
        <v>141</v>
      </c>
      <c r="AF51" s="125" t="s">
        <v>141</v>
      </c>
      <c r="AG51" s="126" t="s">
        <v>141</v>
      </c>
      <c r="AH51" s="127" t="s">
        <v>142</v>
      </c>
      <c r="AI51" s="127" t="s">
        <v>141</v>
      </c>
      <c r="AJ51" s="127" t="s">
        <v>141</v>
      </c>
      <c r="AK51" s="128" t="s">
        <v>141</v>
      </c>
      <c r="AL51" s="129" t="s">
        <v>141</v>
      </c>
      <c r="AM51" s="123" t="s">
        <v>129</v>
      </c>
      <c r="AN51" s="399"/>
      <c r="AO51" s="381"/>
      <c r="AP51" s="383"/>
      <c r="AQ51" s="383"/>
      <c r="AR51" s="383"/>
      <c r="AS51" s="385"/>
      <c r="AT51" s="385"/>
      <c r="AU51" s="155" t="s">
        <v>241</v>
      </c>
    </row>
    <row r="52" spans="1:47">
      <c r="A52" s="273"/>
      <c r="B52" s="155" t="s">
        <v>240</v>
      </c>
      <c r="C52" s="106" t="s">
        <v>54</v>
      </c>
      <c r="D52" s="107">
        <v>16</v>
      </c>
      <c r="E52" s="108"/>
      <c r="F52" s="109">
        <v>949</v>
      </c>
      <c r="G52" s="109">
        <v>0</v>
      </c>
      <c r="H52" s="106">
        <v>122</v>
      </c>
      <c r="I52" s="106" t="s">
        <v>139</v>
      </c>
      <c r="J52" s="110">
        <v>58563.008280000002</v>
      </c>
      <c r="K52" s="111">
        <v>58563008.280000001</v>
      </c>
      <c r="L52" s="111">
        <v>58563008.280000001</v>
      </c>
      <c r="M52" s="110">
        <v>-10500.26455</v>
      </c>
      <c r="N52" s="112">
        <v>-10500264.550000001</v>
      </c>
      <c r="O52" s="112">
        <v>-10500264.550000001</v>
      </c>
      <c r="P52" s="195">
        <v>333140.90071000002</v>
      </c>
      <c r="Q52" s="195">
        <v>1332313.02755</v>
      </c>
      <c r="R52" s="89">
        <f>LEFT(P52,2)+MID(P52,3,2)/60+MID(P52,5,8)/3600</f>
        <v>33.528027975000001</v>
      </c>
      <c r="S52" s="89">
        <f t="shared" ref="S52:S53" si="12">LEFT(Q52,3)+MID(Q52,4,2)/60+MID(Q52,6,8)/3600</f>
        <v>133.38695209722221</v>
      </c>
      <c r="T52" s="149" t="s">
        <v>75</v>
      </c>
      <c r="U52" s="149">
        <v>27</v>
      </c>
      <c r="V52" s="124" t="s">
        <v>141</v>
      </c>
      <c r="W52" s="125" t="s">
        <v>141</v>
      </c>
      <c r="X52" s="126" t="s">
        <v>141</v>
      </c>
      <c r="Y52" s="127" t="s">
        <v>142</v>
      </c>
      <c r="Z52" s="127" t="s">
        <v>141</v>
      </c>
      <c r="AA52" s="127" t="s">
        <v>141</v>
      </c>
      <c r="AB52" s="127" t="s">
        <v>141</v>
      </c>
      <c r="AC52" s="127"/>
      <c r="AD52" s="123" t="s">
        <v>129</v>
      </c>
      <c r="AE52" s="168" t="str">
        <f>"a"&amp;U52</f>
        <v>a27</v>
      </c>
      <c r="AF52" s="80" t="str">
        <f>LOWER(I52)</f>
        <v>00ebd55eb2f8</v>
      </c>
      <c r="AG52" s="81" t="str">
        <f>MID(AF52,1,2)&amp;":"&amp;MID(AF52,3,2)&amp;":"&amp;MID(AF52,5,2)&amp;":"&amp;MID(AF52,7,2)&amp;":"&amp;MID(AF52,9,2)&amp;":"&amp;MID(AF52,11,2)</f>
        <v>00:eb:d5:5e:b2:f8</v>
      </c>
      <c r="AH52" s="99">
        <f>S52</f>
        <v>133.38695209722221</v>
      </c>
      <c r="AI52" s="99">
        <f>R52</f>
        <v>33.528027975000001</v>
      </c>
      <c r="AJ52" s="99">
        <v>0</v>
      </c>
      <c r="AK52" s="100">
        <v>-75</v>
      </c>
      <c r="AL52" s="213" t="s">
        <v>238</v>
      </c>
      <c r="AM52" s="155" t="s">
        <v>240</v>
      </c>
      <c r="AN52" s="172">
        <f>U52</f>
        <v>27</v>
      </c>
      <c r="AO52" s="329" t="s">
        <v>153</v>
      </c>
      <c r="AP52" s="173">
        <f>AH52</f>
        <v>133.38695209722221</v>
      </c>
      <c r="AQ52" s="173">
        <f>AI52</f>
        <v>33.528027975000001</v>
      </c>
      <c r="AR52" s="173">
        <v>15</v>
      </c>
      <c r="AS52" s="173" t="s">
        <v>158</v>
      </c>
      <c r="AT52" s="174" t="str">
        <f>AN50&amp;","&amp;AN53</f>
        <v>26,28</v>
      </c>
      <c r="AU52" s="155" t="s">
        <v>241</v>
      </c>
    </row>
    <row r="53" spans="1:47">
      <c r="A53" s="390">
        <v>994</v>
      </c>
      <c r="B53" s="155" t="s">
        <v>240</v>
      </c>
      <c r="C53" s="24" t="s">
        <v>55</v>
      </c>
      <c r="D53" s="39">
        <v>27</v>
      </c>
      <c r="E53" s="25"/>
      <c r="F53" s="25">
        <v>994</v>
      </c>
      <c r="G53" s="25">
        <v>0</v>
      </c>
      <c r="H53" s="24" t="s">
        <v>63</v>
      </c>
      <c r="I53" s="24" t="s">
        <v>63</v>
      </c>
      <c r="J53" s="33">
        <v>58526.919040991808</v>
      </c>
      <c r="K53" s="34">
        <v>58526919.040991805</v>
      </c>
      <c r="L53" s="34">
        <v>58526919.040991798</v>
      </c>
      <c r="M53" s="33">
        <v>-10473.378614448629</v>
      </c>
      <c r="N53" s="38"/>
      <c r="O53" s="38"/>
      <c r="P53" s="200">
        <v>333139.73017</v>
      </c>
      <c r="Q53" s="201">
        <v>1332314.07112</v>
      </c>
      <c r="R53" s="27">
        <f t="shared" ref="R53" si="13">LEFT(P53,2)+MID(P53,3,2)/60+MID(P53,5,8)/3600</f>
        <v>33.527702824999999</v>
      </c>
      <c r="S53" s="27">
        <f t="shared" si="12"/>
        <v>133.38724197777776</v>
      </c>
      <c r="T53" s="419" t="s">
        <v>76</v>
      </c>
      <c r="U53" s="392">
        <v>28</v>
      </c>
      <c r="V53" s="35" t="s">
        <v>111</v>
      </c>
      <c r="W53" s="35">
        <v>1</v>
      </c>
      <c r="X53" s="58">
        <f>D53</f>
        <v>27</v>
      </c>
      <c r="Y53" s="35">
        <f>S53</f>
        <v>133.38724197777776</v>
      </c>
      <c r="Z53" s="35">
        <f>R53</f>
        <v>33.527702824999999</v>
      </c>
      <c r="AA53" s="35">
        <v>-10</v>
      </c>
      <c r="AB53" s="72">
        <v>-70</v>
      </c>
      <c r="AC53" s="181" t="s">
        <v>174</v>
      </c>
      <c r="AD53" s="155" t="s">
        <v>240</v>
      </c>
      <c r="AE53" s="165" t="s">
        <v>141</v>
      </c>
      <c r="AF53" s="125" t="s">
        <v>141</v>
      </c>
      <c r="AG53" s="126" t="s">
        <v>141</v>
      </c>
      <c r="AH53" s="127" t="s">
        <v>142</v>
      </c>
      <c r="AI53" s="127" t="s">
        <v>141</v>
      </c>
      <c r="AJ53" s="127" t="s">
        <v>141</v>
      </c>
      <c r="AK53" s="128" t="s">
        <v>141</v>
      </c>
      <c r="AL53" s="129" t="s">
        <v>141</v>
      </c>
      <c r="AM53" s="123" t="s">
        <v>129</v>
      </c>
      <c r="AN53" s="399">
        <f>U53</f>
        <v>28</v>
      </c>
      <c r="AO53" s="388" t="s">
        <v>153</v>
      </c>
      <c r="AP53" s="398">
        <f>Y53</f>
        <v>133.38724197777776</v>
      </c>
      <c r="AQ53" s="398">
        <f>Z53</f>
        <v>33.527702824999999</v>
      </c>
      <c r="AR53" s="398">
        <v>15</v>
      </c>
      <c r="AS53" s="389" t="s">
        <v>158</v>
      </c>
      <c r="AT53" s="384" t="str">
        <f>AN52&amp;","&amp;AN55</f>
        <v>27,29</v>
      </c>
      <c r="AU53" s="396" t="s">
        <v>241</v>
      </c>
    </row>
    <row r="54" spans="1:47">
      <c r="A54" s="391"/>
      <c r="B54" s="155" t="s">
        <v>240</v>
      </c>
      <c r="C54" s="24" t="s">
        <v>55</v>
      </c>
      <c r="D54" s="39">
        <v>28</v>
      </c>
      <c r="E54" s="25"/>
      <c r="F54" s="25">
        <v>994</v>
      </c>
      <c r="G54" s="25">
        <v>0</v>
      </c>
      <c r="H54" s="24" t="s">
        <v>63</v>
      </c>
      <c r="I54" s="24" t="s">
        <v>63</v>
      </c>
      <c r="J54" s="33">
        <v>58526.919040991808</v>
      </c>
      <c r="K54" s="34">
        <v>58526919.040991805</v>
      </c>
      <c r="L54" s="34">
        <v>58526919.040991805</v>
      </c>
      <c r="M54" s="33">
        <v>-10473.378614448629</v>
      </c>
      <c r="N54" s="38"/>
      <c r="O54" s="38"/>
      <c r="P54" s="200">
        <v>333139.73017</v>
      </c>
      <c r="Q54" s="201">
        <v>1332314.07112</v>
      </c>
      <c r="R54" s="27">
        <f t="shared" ref="R54" si="14">LEFT(P54,2)+MID(P54,3,2)/60+MID(P54,5,8)/3600</f>
        <v>33.527702824999999</v>
      </c>
      <c r="S54" s="27">
        <f t="shared" ref="S54" si="15">LEFT(Q54,3)+MID(Q54,4,2)/60+MID(Q54,6,8)/3600</f>
        <v>133.38724197777776</v>
      </c>
      <c r="T54" s="393"/>
      <c r="U54" s="393"/>
      <c r="V54" s="35" t="s">
        <v>112</v>
      </c>
      <c r="W54" s="35">
        <v>1</v>
      </c>
      <c r="X54" s="58">
        <f>D54</f>
        <v>28</v>
      </c>
      <c r="Y54" s="35">
        <f>S54</f>
        <v>133.38724197777776</v>
      </c>
      <c r="Z54" s="35">
        <f>R54</f>
        <v>33.527702824999999</v>
      </c>
      <c r="AA54" s="35">
        <v>-10</v>
      </c>
      <c r="AB54" s="72">
        <v>-70</v>
      </c>
      <c r="AC54" s="181" t="s">
        <v>174</v>
      </c>
      <c r="AD54" s="155" t="s">
        <v>240</v>
      </c>
      <c r="AE54" s="165" t="s">
        <v>141</v>
      </c>
      <c r="AF54" s="125" t="s">
        <v>141</v>
      </c>
      <c r="AG54" s="126" t="s">
        <v>141</v>
      </c>
      <c r="AH54" s="127" t="s">
        <v>142</v>
      </c>
      <c r="AI54" s="127" t="s">
        <v>141</v>
      </c>
      <c r="AJ54" s="127" t="s">
        <v>141</v>
      </c>
      <c r="AK54" s="128" t="s">
        <v>141</v>
      </c>
      <c r="AL54" s="129" t="s">
        <v>141</v>
      </c>
      <c r="AM54" s="123" t="s">
        <v>129</v>
      </c>
      <c r="AN54" s="399"/>
      <c r="AO54" s="381"/>
      <c r="AP54" s="383"/>
      <c r="AQ54" s="383"/>
      <c r="AR54" s="383"/>
      <c r="AS54" s="385"/>
      <c r="AT54" s="385"/>
      <c r="AU54" s="397"/>
    </row>
    <row r="55" spans="1:47">
      <c r="A55" s="273"/>
      <c r="B55" s="155" t="s">
        <v>240</v>
      </c>
      <c r="C55" s="106" t="s">
        <v>54</v>
      </c>
      <c r="D55" s="107">
        <v>17</v>
      </c>
      <c r="E55" s="108"/>
      <c r="F55" s="109">
        <v>1038</v>
      </c>
      <c r="G55" s="109">
        <v>0</v>
      </c>
      <c r="H55" s="106">
        <v>121</v>
      </c>
      <c r="I55" s="106" t="s">
        <v>73</v>
      </c>
      <c r="J55" s="110">
        <v>58491.634284568674</v>
      </c>
      <c r="K55" s="111">
        <v>58491634.284568675</v>
      </c>
      <c r="L55" s="111">
        <v>58493240.689999998</v>
      </c>
      <c r="M55" s="110">
        <v>-10447.092002568046</v>
      </c>
      <c r="N55" s="112">
        <v>-10447092.002568046</v>
      </c>
      <c r="O55" s="112">
        <v>-10447092.002568046</v>
      </c>
      <c r="P55" s="195">
        <v>333138.58572999999</v>
      </c>
      <c r="Q55" s="195">
        <v>1332315.09143</v>
      </c>
      <c r="R55" s="89">
        <f>LEFT(P55,2)+MID(P55,3,2)/60+MID(P55,5,8)/3600</f>
        <v>33.527384925</v>
      </c>
      <c r="S55" s="89">
        <f>LEFT(Q55,3)+MID(Q55,4,2)/60+MID(Q55,6,8)/3600</f>
        <v>133.38752539722222</v>
      </c>
      <c r="T55" s="167" t="s">
        <v>77</v>
      </c>
      <c r="U55" s="167">
        <v>29</v>
      </c>
      <c r="V55" s="124" t="s">
        <v>141</v>
      </c>
      <c r="W55" s="125" t="s">
        <v>141</v>
      </c>
      <c r="X55" s="126" t="s">
        <v>141</v>
      </c>
      <c r="Y55" s="127" t="s">
        <v>142</v>
      </c>
      <c r="Z55" s="127" t="s">
        <v>141</v>
      </c>
      <c r="AA55" s="127" t="s">
        <v>141</v>
      </c>
      <c r="AB55" s="127" t="s">
        <v>141</v>
      </c>
      <c r="AC55" s="127"/>
      <c r="AD55" s="123" t="s">
        <v>129</v>
      </c>
      <c r="AE55" s="168" t="str">
        <f>"a"&amp;U55</f>
        <v>a29</v>
      </c>
      <c r="AF55" s="214" t="str">
        <f>LOWER(I55)</f>
        <v>00ebd55ee060</v>
      </c>
      <c r="AG55" s="101" t="str">
        <f>MID(AF55,1,2)&amp;":"&amp;MID(AF55,3,2)&amp;":"&amp;MID(AF55,5,2)&amp;":"&amp;MID(AF55,7,2)&amp;":"&amp;MID(AF55,9,2)&amp;":"&amp;MID(AF55,11,2)</f>
        <v>00:eb:d5:5e:e0:60</v>
      </c>
      <c r="AH55" s="215">
        <f>S55</f>
        <v>133.38752539722222</v>
      </c>
      <c r="AI55" s="215">
        <f>R55</f>
        <v>33.527384925</v>
      </c>
      <c r="AJ55" s="215">
        <v>0</v>
      </c>
      <c r="AK55" s="213">
        <v>-75</v>
      </c>
      <c r="AL55" s="213" t="s">
        <v>239</v>
      </c>
      <c r="AM55" s="155" t="s">
        <v>240</v>
      </c>
      <c r="AN55" s="172">
        <f>U55</f>
        <v>29</v>
      </c>
      <c r="AO55" s="329" t="s">
        <v>153</v>
      </c>
      <c r="AP55" s="173">
        <f>AH55</f>
        <v>133.38752539722222</v>
      </c>
      <c r="AQ55" s="173">
        <f>AI55</f>
        <v>33.527384925</v>
      </c>
      <c r="AR55" s="173">
        <v>15</v>
      </c>
      <c r="AS55" s="173" t="s">
        <v>158</v>
      </c>
      <c r="AT55" s="174" t="str">
        <f>AN53&amp;","&amp;AN56</f>
        <v>28,30</v>
      </c>
      <c r="AU55" s="155" t="s">
        <v>241</v>
      </c>
    </row>
    <row r="56" spans="1:47">
      <c r="A56" s="390">
        <v>1085</v>
      </c>
      <c r="B56" s="155" t="s">
        <v>240</v>
      </c>
      <c r="C56" s="24" t="s">
        <v>55</v>
      </c>
      <c r="D56" s="39">
        <v>29</v>
      </c>
      <c r="E56" s="25"/>
      <c r="F56" s="25">
        <v>1085</v>
      </c>
      <c r="G56" s="25">
        <v>0</v>
      </c>
      <c r="H56" s="24" t="s">
        <v>63</v>
      </c>
      <c r="I56" s="24" t="s">
        <v>63</v>
      </c>
      <c r="J56" s="33">
        <v>58453.943749298516</v>
      </c>
      <c r="K56" s="34">
        <v>58453943.749298513</v>
      </c>
      <c r="L56" s="34">
        <v>58453943.749298513</v>
      </c>
      <c r="M56" s="33">
        <v>-10419.013121695605</v>
      </c>
      <c r="N56" s="38"/>
      <c r="O56" s="38"/>
      <c r="P56" s="200">
        <v>333137.36324999999</v>
      </c>
      <c r="Q56" s="201">
        <v>1332316.18129</v>
      </c>
      <c r="R56" s="27">
        <f t="shared" ref="R56" si="16">LEFT(P56,2)+MID(P56,3,2)/60+MID(P56,5,8)/3600</f>
        <v>33.52704534722222</v>
      </c>
      <c r="S56" s="27">
        <f t="shared" ref="S56" si="17">LEFT(Q56,3)+MID(Q56,4,2)/60+MID(Q56,6,8)/3600</f>
        <v>133.3878281361111</v>
      </c>
      <c r="T56" s="418" t="s">
        <v>78</v>
      </c>
      <c r="U56" s="392">
        <v>30</v>
      </c>
      <c r="V56" s="35" t="s">
        <v>113</v>
      </c>
      <c r="W56" s="35">
        <v>1</v>
      </c>
      <c r="X56" s="58">
        <f>D56</f>
        <v>29</v>
      </c>
      <c r="Y56" s="35">
        <f>S56</f>
        <v>133.3878281361111</v>
      </c>
      <c r="Z56" s="35">
        <f>R56</f>
        <v>33.52704534722222</v>
      </c>
      <c r="AA56" s="35">
        <v>-10</v>
      </c>
      <c r="AB56" s="72">
        <v>-70</v>
      </c>
      <c r="AC56" s="181" t="s">
        <v>174</v>
      </c>
      <c r="AD56" s="155" t="s">
        <v>240</v>
      </c>
      <c r="AE56" s="216" t="s">
        <v>141</v>
      </c>
      <c r="AF56" s="217" t="s">
        <v>141</v>
      </c>
      <c r="AG56" s="218" t="s">
        <v>141</v>
      </c>
      <c r="AH56" s="219" t="s">
        <v>142</v>
      </c>
      <c r="AI56" s="219" t="s">
        <v>141</v>
      </c>
      <c r="AJ56" s="219" t="s">
        <v>141</v>
      </c>
      <c r="AK56" s="220" t="s">
        <v>141</v>
      </c>
      <c r="AL56" s="221" t="s">
        <v>141</v>
      </c>
      <c r="AM56" s="123" t="s">
        <v>129</v>
      </c>
      <c r="AN56" s="399">
        <f>U56</f>
        <v>30</v>
      </c>
      <c r="AO56" s="388" t="s">
        <v>153</v>
      </c>
      <c r="AP56" s="398">
        <f>Y56</f>
        <v>133.3878281361111</v>
      </c>
      <c r="AQ56" s="398">
        <f>Z56</f>
        <v>33.52704534722222</v>
      </c>
      <c r="AR56" s="398">
        <v>15</v>
      </c>
      <c r="AS56" s="389" t="s">
        <v>158</v>
      </c>
      <c r="AT56" s="384" t="str">
        <f>AN55&amp;","&amp;AN58</f>
        <v>29,31</v>
      </c>
      <c r="AU56" s="396" t="s">
        <v>241</v>
      </c>
    </row>
    <row r="57" spans="1:47">
      <c r="A57" s="391"/>
      <c r="B57" s="155" t="s">
        <v>240</v>
      </c>
      <c r="C57" s="24" t="s">
        <v>55</v>
      </c>
      <c r="D57" s="39">
        <v>30</v>
      </c>
      <c r="E57" s="25"/>
      <c r="F57" s="25">
        <v>1085</v>
      </c>
      <c r="G57" s="25">
        <v>0</v>
      </c>
      <c r="H57" s="24" t="s">
        <v>63</v>
      </c>
      <c r="I57" s="24" t="s">
        <v>63</v>
      </c>
      <c r="J57" s="33">
        <v>58453.943749298516</v>
      </c>
      <c r="K57" s="34">
        <v>58453943.749298513</v>
      </c>
      <c r="L57" s="34">
        <v>58453943.749298498</v>
      </c>
      <c r="M57" s="33">
        <v>-10419.013121695605</v>
      </c>
      <c r="N57" s="38"/>
      <c r="O57" s="38"/>
      <c r="P57" s="200">
        <v>333137.36324999999</v>
      </c>
      <c r="Q57" s="201">
        <v>1332316.18129</v>
      </c>
      <c r="R57" s="27">
        <f t="shared" ref="R57" si="18">LEFT(P57,2)+MID(P57,3,2)/60+MID(P57,5,8)/3600</f>
        <v>33.52704534722222</v>
      </c>
      <c r="S57" s="27">
        <f t="shared" ref="S57" si="19">LEFT(Q57,3)+MID(Q57,4,2)/60+MID(Q57,6,8)/3600</f>
        <v>133.3878281361111</v>
      </c>
      <c r="T57" s="418"/>
      <c r="U57" s="393"/>
      <c r="V57" s="35" t="s">
        <v>114</v>
      </c>
      <c r="W57" s="35">
        <v>1</v>
      </c>
      <c r="X57" s="58">
        <f>D57</f>
        <v>30</v>
      </c>
      <c r="Y57" s="35">
        <f>S57</f>
        <v>133.3878281361111</v>
      </c>
      <c r="Z57" s="35">
        <f>R57</f>
        <v>33.52704534722222</v>
      </c>
      <c r="AA57" s="35">
        <v>-10</v>
      </c>
      <c r="AB57" s="72">
        <v>-70</v>
      </c>
      <c r="AC57" s="181" t="s">
        <v>174</v>
      </c>
      <c r="AD57" s="155" t="s">
        <v>240</v>
      </c>
      <c r="AE57" s="216" t="s">
        <v>141</v>
      </c>
      <c r="AF57" s="217" t="s">
        <v>141</v>
      </c>
      <c r="AG57" s="218" t="s">
        <v>141</v>
      </c>
      <c r="AH57" s="219" t="s">
        <v>142</v>
      </c>
      <c r="AI57" s="219" t="s">
        <v>141</v>
      </c>
      <c r="AJ57" s="219" t="s">
        <v>141</v>
      </c>
      <c r="AK57" s="220" t="s">
        <v>141</v>
      </c>
      <c r="AL57" s="221" t="s">
        <v>141</v>
      </c>
      <c r="AM57" s="123" t="s">
        <v>129</v>
      </c>
      <c r="AN57" s="399"/>
      <c r="AO57" s="381"/>
      <c r="AP57" s="383"/>
      <c r="AQ57" s="383"/>
      <c r="AR57" s="383"/>
      <c r="AS57" s="385"/>
      <c r="AT57" s="385"/>
      <c r="AU57" s="397"/>
    </row>
    <row r="58" spans="1:47">
      <c r="A58" s="273"/>
      <c r="B58" s="155" t="s">
        <v>240</v>
      </c>
      <c r="C58" s="106" t="s">
        <v>54</v>
      </c>
      <c r="D58" s="107">
        <v>18</v>
      </c>
      <c r="E58" s="108"/>
      <c r="F58" s="109">
        <v>1131</v>
      </c>
      <c r="G58" s="109">
        <v>0</v>
      </c>
      <c r="H58" s="106">
        <v>124</v>
      </c>
      <c r="I58" s="106" t="s">
        <v>74</v>
      </c>
      <c r="J58" s="110">
        <v>58417.055140310695</v>
      </c>
      <c r="K58" s="111">
        <v>58417055.140310697</v>
      </c>
      <c r="L58" s="111">
        <v>58417055.140310697</v>
      </c>
      <c r="M58" s="110">
        <v>-10391.531663820451</v>
      </c>
      <c r="N58" s="112">
        <v>-10391531.663820451</v>
      </c>
      <c r="O58" s="112">
        <v>-10391531.6638205</v>
      </c>
      <c r="P58" s="195">
        <v>333136.16678000003</v>
      </c>
      <c r="Q58" s="195">
        <v>1332317.24795</v>
      </c>
      <c r="R58" s="89">
        <f>LEFT(P58,2)+MID(P58,3,2)/60+MID(P58,5,8)/3600</f>
        <v>33.526712994444445</v>
      </c>
      <c r="S58" s="89">
        <f>LEFT(Q58,3)+MID(Q58,4,2)/60+MID(Q58,6,8)/3600</f>
        <v>133.38812443055554</v>
      </c>
      <c r="T58" s="167" t="s">
        <v>79</v>
      </c>
      <c r="U58" s="167">
        <v>31</v>
      </c>
      <c r="V58" s="124" t="s">
        <v>141</v>
      </c>
      <c r="W58" s="125" t="s">
        <v>141</v>
      </c>
      <c r="X58" s="126" t="s">
        <v>141</v>
      </c>
      <c r="Y58" s="127" t="s">
        <v>142</v>
      </c>
      <c r="Z58" s="127" t="s">
        <v>141</v>
      </c>
      <c r="AA58" s="127" t="s">
        <v>141</v>
      </c>
      <c r="AB58" s="127" t="s">
        <v>141</v>
      </c>
      <c r="AC58" s="127"/>
      <c r="AD58" s="123" t="s">
        <v>129</v>
      </c>
      <c r="AE58" s="168" t="str">
        <f>"a"&amp;U58</f>
        <v>a31</v>
      </c>
      <c r="AF58" s="214" t="str">
        <f>LOWER(I58)</f>
        <v>00ebd55eb300</v>
      </c>
      <c r="AG58" s="101" t="str">
        <f>MID(AF58,1,2)&amp;":"&amp;MID(AF58,3,2)&amp;":"&amp;MID(AF58,5,2)&amp;":"&amp;MID(AF58,7,2)&amp;":"&amp;MID(AF58,9,2)&amp;":"&amp;MID(AF58,11,2)</f>
        <v>00:eb:d5:5e:b3:00</v>
      </c>
      <c r="AH58" s="215">
        <f>S58</f>
        <v>133.38812443055554</v>
      </c>
      <c r="AI58" s="215">
        <f>R58</f>
        <v>33.526712994444445</v>
      </c>
      <c r="AJ58" s="215">
        <v>0</v>
      </c>
      <c r="AK58" s="213">
        <v>-75</v>
      </c>
      <c r="AL58" s="213" t="s">
        <v>177</v>
      </c>
      <c r="AM58" s="155" t="s">
        <v>240</v>
      </c>
      <c r="AN58" s="172">
        <f>U58</f>
        <v>31</v>
      </c>
      <c r="AO58" s="329" t="s">
        <v>153</v>
      </c>
      <c r="AP58" s="173">
        <f>AH58</f>
        <v>133.38812443055554</v>
      </c>
      <c r="AQ58" s="173">
        <f>AI58</f>
        <v>33.526712994444445</v>
      </c>
      <c r="AR58" s="173">
        <v>15</v>
      </c>
      <c r="AS58" s="173" t="s">
        <v>158</v>
      </c>
      <c r="AT58" s="174" t="str">
        <f>AN56&amp;","&amp;AN59</f>
        <v>30,32</v>
      </c>
      <c r="AU58" s="155" t="s">
        <v>241</v>
      </c>
    </row>
    <row r="59" spans="1:47">
      <c r="A59" s="390">
        <v>1178</v>
      </c>
      <c r="B59" s="155" t="s">
        <v>240</v>
      </c>
      <c r="C59" s="24" t="s">
        <v>55</v>
      </c>
      <c r="D59" s="39">
        <v>35</v>
      </c>
      <c r="E59" s="151"/>
      <c r="F59" s="150" t="s">
        <v>61</v>
      </c>
      <c r="G59" s="151"/>
      <c r="H59" s="24" t="s">
        <v>61</v>
      </c>
      <c r="I59" s="24" t="s">
        <v>61</v>
      </c>
      <c r="J59" s="33">
        <v>58379.364605040537</v>
      </c>
      <c r="K59" s="34">
        <v>58379364.605040535</v>
      </c>
      <c r="L59" s="34">
        <v>58392997.351840399</v>
      </c>
      <c r="M59" s="33">
        <v>-10363.45278294801</v>
      </c>
      <c r="N59" s="38"/>
      <c r="O59" s="38"/>
      <c r="P59" s="200">
        <v>333134.94429999997</v>
      </c>
      <c r="Q59" s="201">
        <v>1332318.33779</v>
      </c>
      <c r="R59" s="27">
        <f t="shared" ref="R59:R60" si="20">LEFT(P59,2)+MID(P59,3,2)/60+MID(P59,5,8)/3600</f>
        <v>33.526373416666665</v>
      </c>
      <c r="S59" s="27">
        <f t="shared" ref="S59:S60" si="21">LEFT(Q59,3)+MID(Q59,4,2)/60+MID(Q59,6,8)/3600</f>
        <v>133.38842716388888</v>
      </c>
      <c r="T59" s="434" t="s">
        <v>167</v>
      </c>
      <c r="U59" s="392">
        <v>32</v>
      </c>
      <c r="V59" s="150" t="str">
        <f>"b"&amp;D59</f>
        <v>b35</v>
      </c>
      <c r="W59" s="35">
        <v>1</v>
      </c>
      <c r="X59" s="58">
        <f>D59</f>
        <v>35</v>
      </c>
      <c r="Y59" s="35">
        <f>S59</f>
        <v>133.38842716388888</v>
      </c>
      <c r="Z59" s="35">
        <f>R59</f>
        <v>33.526373416666665</v>
      </c>
      <c r="AA59" s="35">
        <v>-10</v>
      </c>
      <c r="AB59" s="72">
        <v>-70</v>
      </c>
      <c r="AC59" s="181" t="s">
        <v>174</v>
      </c>
      <c r="AD59" s="155" t="s">
        <v>240</v>
      </c>
      <c r="AE59" s="216" t="s">
        <v>141</v>
      </c>
      <c r="AF59" s="217" t="s">
        <v>141</v>
      </c>
      <c r="AG59" s="218" t="s">
        <v>141</v>
      </c>
      <c r="AH59" s="219" t="s">
        <v>141</v>
      </c>
      <c r="AI59" s="219" t="s">
        <v>142</v>
      </c>
      <c r="AJ59" s="219" t="s">
        <v>143</v>
      </c>
      <c r="AK59" s="220" t="s">
        <v>141</v>
      </c>
      <c r="AL59" s="221" t="s">
        <v>141</v>
      </c>
      <c r="AM59" s="123" t="s">
        <v>129</v>
      </c>
      <c r="AN59" s="399">
        <f>U59</f>
        <v>32</v>
      </c>
      <c r="AO59" s="388" t="s">
        <v>153</v>
      </c>
      <c r="AP59" s="398">
        <f>Y59</f>
        <v>133.38842716388888</v>
      </c>
      <c r="AQ59" s="398">
        <f>Z59</f>
        <v>33.526373416666665</v>
      </c>
      <c r="AR59" s="398">
        <v>15</v>
      </c>
      <c r="AS59" s="389" t="s">
        <v>162</v>
      </c>
      <c r="AT59" s="384" t="str">
        <f>AN58&amp;","&amp;AN61</f>
        <v>31,33</v>
      </c>
      <c r="AU59" s="396" t="s">
        <v>241</v>
      </c>
    </row>
    <row r="60" spans="1:47">
      <c r="A60" s="391"/>
      <c r="B60" s="155" t="s">
        <v>240</v>
      </c>
      <c r="C60" s="24" t="s">
        <v>55</v>
      </c>
      <c r="D60" s="39">
        <v>36</v>
      </c>
      <c r="E60" s="151"/>
      <c r="F60" s="150" t="s">
        <v>61</v>
      </c>
      <c r="G60" s="151"/>
      <c r="H60" s="24" t="s">
        <v>61</v>
      </c>
      <c r="I60" s="24" t="s">
        <v>61</v>
      </c>
      <c r="J60" s="33">
        <v>58379.364605040537</v>
      </c>
      <c r="K60" s="34">
        <v>58379364.605040535</v>
      </c>
      <c r="L60" s="34">
        <v>58392997.351840377</v>
      </c>
      <c r="M60" s="33">
        <v>-10363.45278294801</v>
      </c>
      <c r="N60" s="38"/>
      <c r="O60" s="38"/>
      <c r="P60" s="200">
        <v>333134.94429999997</v>
      </c>
      <c r="Q60" s="201">
        <v>1332318.33779</v>
      </c>
      <c r="R60" s="27">
        <f t="shared" si="20"/>
        <v>33.526373416666665</v>
      </c>
      <c r="S60" s="27">
        <f t="shared" si="21"/>
        <v>133.38842716388888</v>
      </c>
      <c r="T60" s="418"/>
      <c r="U60" s="393"/>
      <c r="V60" s="150" t="str">
        <f>"b"&amp;D60</f>
        <v>b36</v>
      </c>
      <c r="W60" s="35">
        <v>1</v>
      </c>
      <c r="X60" s="58">
        <f>D60</f>
        <v>36</v>
      </c>
      <c r="Y60" s="35">
        <f>S60</f>
        <v>133.38842716388888</v>
      </c>
      <c r="Z60" s="35">
        <f>R60</f>
        <v>33.526373416666665</v>
      </c>
      <c r="AA60" s="35">
        <v>-10</v>
      </c>
      <c r="AB60" s="72">
        <v>-70</v>
      </c>
      <c r="AC60" s="181" t="s">
        <v>174</v>
      </c>
      <c r="AD60" s="155" t="s">
        <v>240</v>
      </c>
      <c r="AE60" s="216" t="s">
        <v>141</v>
      </c>
      <c r="AF60" s="217" t="s">
        <v>141</v>
      </c>
      <c r="AG60" s="218" t="s">
        <v>141</v>
      </c>
      <c r="AH60" s="219" t="s">
        <v>142</v>
      </c>
      <c r="AI60" s="219" t="s">
        <v>141</v>
      </c>
      <c r="AJ60" s="219" t="s">
        <v>141</v>
      </c>
      <c r="AK60" s="220" t="s">
        <v>141</v>
      </c>
      <c r="AL60" s="221" t="s">
        <v>141</v>
      </c>
      <c r="AM60" s="123" t="s">
        <v>129</v>
      </c>
      <c r="AN60" s="399"/>
      <c r="AO60" s="381"/>
      <c r="AP60" s="383"/>
      <c r="AQ60" s="383"/>
      <c r="AR60" s="383"/>
      <c r="AS60" s="385"/>
      <c r="AT60" s="385"/>
      <c r="AU60" s="397"/>
    </row>
    <row r="61" spans="1:47">
      <c r="A61" s="273"/>
      <c r="B61" s="155" t="s">
        <v>240</v>
      </c>
      <c r="C61" s="106" t="s">
        <v>54</v>
      </c>
      <c r="D61" s="98">
        <v>19</v>
      </c>
      <c r="E61" s="114"/>
      <c r="F61" s="98" t="s">
        <v>61</v>
      </c>
      <c r="G61" s="114"/>
      <c r="H61" s="168">
        <v>125</v>
      </c>
      <c r="I61" s="168" t="s">
        <v>176</v>
      </c>
      <c r="J61" s="110">
        <v>58337.669249999999</v>
      </c>
      <c r="K61" s="87"/>
      <c r="L61" s="87"/>
      <c r="M61" s="110">
        <v>-10332.380349999999</v>
      </c>
      <c r="N61" s="112"/>
      <c r="O61" s="112"/>
      <c r="P61" s="195">
        <v>333133.59191000002</v>
      </c>
      <c r="Q61" s="195">
        <v>1332319.5438099999</v>
      </c>
      <c r="R61" s="89">
        <f>LEFT(P61,2)+MID(P61,3,2)/60+MID(P61,5,8)/3600</f>
        <v>33.525997752777776</v>
      </c>
      <c r="S61" s="89">
        <f>LEFT(Q61,3)+MID(Q61,4,2)/60+MID(Q61,6,8)/3600</f>
        <v>133.38876216944445</v>
      </c>
      <c r="T61" s="168" t="s">
        <v>160</v>
      </c>
      <c r="U61" s="163">
        <v>33</v>
      </c>
      <c r="V61" s="124" t="s">
        <v>61</v>
      </c>
      <c r="W61" s="125" t="s">
        <v>61</v>
      </c>
      <c r="X61" s="126" t="s">
        <v>61</v>
      </c>
      <c r="Y61" s="127" t="s">
        <v>61</v>
      </c>
      <c r="Z61" s="127" t="s">
        <v>61</v>
      </c>
      <c r="AA61" s="127" t="s">
        <v>61</v>
      </c>
      <c r="AB61" s="127" t="s">
        <v>61</v>
      </c>
      <c r="AC61" s="127"/>
      <c r="AD61" s="123" t="s">
        <v>129</v>
      </c>
      <c r="AE61" s="168" t="str">
        <f>"a"&amp;U61</f>
        <v>a33</v>
      </c>
      <c r="AF61" s="214" t="str">
        <f>LOWER(I61)</f>
        <v>00ebd55ea428</v>
      </c>
      <c r="AG61" s="101" t="str">
        <f>MID(AF61,1,2)&amp;":"&amp;MID(AF61,3,2)&amp;":"&amp;MID(AF61,5,2)&amp;":"&amp;MID(AF61,7,2)&amp;":"&amp;MID(AF61,9,2)&amp;":"&amp;MID(AF61,11,2)</f>
        <v>00:eb:d5:5e:a4:28</v>
      </c>
      <c r="AH61" s="215">
        <f>S61</f>
        <v>133.38876216944445</v>
      </c>
      <c r="AI61" s="215">
        <f>R61</f>
        <v>33.525997752777776</v>
      </c>
      <c r="AJ61" s="222">
        <v>0</v>
      </c>
      <c r="AK61" s="223">
        <v>-75</v>
      </c>
      <c r="AL61" s="213" t="s">
        <v>314</v>
      </c>
      <c r="AM61" s="155" t="s">
        <v>240</v>
      </c>
      <c r="AN61" s="172">
        <f t="shared" ref="AN61:AN103" si="22">U61</f>
        <v>33</v>
      </c>
      <c r="AO61" s="329" t="s">
        <v>153</v>
      </c>
      <c r="AP61" s="173">
        <f>S61</f>
        <v>133.38876216944445</v>
      </c>
      <c r="AQ61" s="173">
        <f>R61</f>
        <v>33.525997752777776</v>
      </c>
      <c r="AR61" s="173">
        <v>15</v>
      </c>
      <c r="AS61" s="173" t="s">
        <v>158</v>
      </c>
      <c r="AT61" s="174" t="str">
        <f>AN59&amp;","&amp;AN62</f>
        <v>32,34</v>
      </c>
      <c r="AU61" s="155" t="s">
        <v>241</v>
      </c>
    </row>
    <row r="62" spans="1:47">
      <c r="A62" s="390">
        <v>1272</v>
      </c>
      <c r="B62" s="155" t="s">
        <v>240</v>
      </c>
      <c r="C62" s="24" t="s">
        <v>55</v>
      </c>
      <c r="D62" s="150">
        <v>37</v>
      </c>
      <c r="E62" s="151"/>
      <c r="F62" s="150" t="s">
        <v>61</v>
      </c>
      <c r="G62" s="151"/>
      <c r="H62" s="240" t="s">
        <v>61</v>
      </c>
      <c r="I62" s="240" t="s">
        <v>61</v>
      </c>
      <c r="J62" s="33">
        <v>58304.528509134943</v>
      </c>
      <c r="K62" s="34"/>
      <c r="L62" s="34"/>
      <c r="M62" s="33">
        <v>-10306.582849602919</v>
      </c>
      <c r="N62" s="38"/>
      <c r="O62" s="38"/>
      <c r="P62" s="200">
        <v>333132.51704000001</v>
      </c>
      <c r="Q62" s="201">
        <v>1332320.5450299999</v>
      </c>
      <c r="R62" s="27">
        <f t="shared" ref="R62:R63" si="23">LEFT(P62,2)+MID(P62,3,2)/60+MID(P62,5,8)/3600</f>
        <v>33.525699177777774</v>
      </c>
      <c r="S62" s="27">
        <f t="shared" ref="S62:S63" si="24">LEFT(Q62,3)+MID(Q62,4,2)/60+MID(Q62,6,8)/3600</f>
        <v>133.38904028611111</v>
      </c>
      <c r="T62" s="392" t="s">
        <v>161</v>
      </c>
      <c r="U62" s="392">
        <v>34</v>
      </c>
      <c r="V62" s="150" t="str">
        <f>"b"&amp;D62</f>
        <v>b37</v>
      </c>
      <c r="W62" s="35">
        <v>1</v>
      </c>
      <c r="X62" s="58">
        <f>D62</f>
        <v>37</v>
      </c>
      <c r="Y62" s="35">
        <f>S62</f>
        <v>133.38904028611111</v>
      </c>
      <c r="Z62" s="35">
        <f>R62</f>
        <v>33.525699177777774</v>
      </c>
      <c r="AA62" s="35">
        <v>-10</v>
      </c>
      <c r="AB62" s="72">
        <v>-70</v>
      </c>
      <c r="AC62" s="181" t="s">
        <v>174</v>
      </c>
      <c r="AD62" s="155" t="s">
        <v>240</v>
      </c>
      <c r="AE62" s="165" t="s">
        <v>61</v>
      </c>
      <c r="AF62" s="125" t="s">
        <v>61</v>
      </c>
      <c r="AG62" s="126" t="s">
        <v>61</v>
      </c>
      <c r="AH62" s="127" t="s">
        <v>61</v>
      </c>
      <c r="AI62" s="127" t="s">
        <v>61</v>
      </c>
      <c r="AJ62" s="127" t="s">
        <v>61</v>
      </c>
      <c r="AK62" s="128" t="s">
        <v>61</v>
      </c>
      <c r="AL62" s="129" t="s">
        <v>61</v>
      </c>
      <c r="AM62" s="123" t="s">
        <v>129</v>
      </c>
      <c r="AN62" s="380">
        <f>U62</f>
        <v>34</v>
      </c>
      <c r="AO62" s="388" t="s">
        <v>153</v>
      </c>
      <c r="AP62" s="382">
        <f>S62</f>
        <v>133.38904028611111</v>
      </c>
      <c r="AQ62" s="382">
        <f>R62</f>
        <v>33.525699177777774</v>
      </c>
      <c r="AR62" s="382">
        <v>15</v>
      </c>
      <c r="AS62" s="389" t="s">
        <v>162</v>
      </c>
      <c r="AT62" s="384" t="str">
        <f>AN61&amp;","&amp;AN64</f>
        <v>33,35</v>
      </c>
      <c r="AU62" s="396" t="s">
        <v>241</v>
      </c>
    </row>
    <row r="63" spans="1:47">
      <c r="A63" s="391"/>
      <c r="B63" s="155" t="s">
        <v>240</v>
      </c>
      <c r="C63" s="24" t="s">
        <v>55</v>
      </c>
      <c r="D63" s="150">
        <v>38</v>
      </c>
      <c r="E63" s="151"/>
      <c r="F63" s="150" t="s">
        <v>61</v>
      </c>
      <c r="G63" s="151"/>
      <c r="H63" s="240" t="s">
        <v>61</v>
      </c>
      <c r="I63" s="240" t="s">
        <v>61</v>
      </c>
      <c r="J63" s="33">
        <v>58304.528509134943</v>
      </c>
      <c r="K63" s="34"/>
      <c r="L63" s="34"/>
      <c r="M63" s="33">
        <v>-10306.582849602919</v>
      </c>
      <c r="N63" s="38"/>
      <c r="O63" s="38"/>
      <c r="P63" s="200">
        <v>333132.51704000001</v>
      </c>
      <c r="Q63" s="201">
        <v>1332320.5450299999</v>
      </c>
      <c r="R63" s="27">
        <f t="shared" si="23"/>
        <v>33.525699177777774</v>
      </c>
      <c r="S63" s="27">
        <f t="shared" si="24"/>
        <v>133.38904028611111</v>
      </c>
      <c r="T63" s="393"/>
      <c r="U63" s="393"/>
      <c r="V63" s="150" t="str">
        <f>"b"&amp;D63</f>
        <v>b38</v>
      </c>
      <c r="W63" s="35">
        <v>1</v>
      </c>
      <c r="X63" s="58">
        <f>D63</f>
        <v>38</v>
      </c>
      <c r="Y63" s="35">
        <f>S63</f>
        <v>133.38904028611111</v>
      </c>
      <c r="Z63" s="35">
        <f>R63</f>
        <v>33.525699177777774</v>
      </c>
      <c r="AA63" s="35">
        <v>-10</v>
      </c>
      <c r="AB63" s="72">
        <v>-70</v>
      </c>
      <c r="AC63" s="181" t="s">
        <v>174</v>
      </c>
      <c r="AD63" s="155" t="s">
        <v>240</v>
      </c>
      <c r="AE63" s="165" t="s">
        <v>61</v>
      </c>
      <c r="AF63" s="125" t="s">
        <v>61</v>
      </c>
      <c r="AG63" s="126" t="s">
        <v>61</v>
      </c>
      <c r="AH63" s="127" t="s">
        <v>61</v>
      </c>
      <c r="AI63" s="127" t="s">
        <v>61</v>
      </c>
      <c r="AJ63" s="127" t="s">
        <v>61</v>
      </c>
      <c r="AK63" s="128" t="s">
        <v>61</v>
      </c>
      <c r="AL63" s="129" t="s">
        <v>61</v>
      </c>
      <c r="AM63" s="123" t="s">
        <v>129</v>
      </c>
      <c r="AN63" s="381"/>
      <c r="AO63" s="381"/>
      <c r="AP63" s="383"/>
      <c r="AQ63" s="383"/>
      <c r="AR63" s="383"/>
      <c r="AS63" s="385"/>
      <c r="AT63" s="385"/>
      <c r="AU63" s="397"/>
    </row>
    <row r="64" spans="1:47">
      <c r="A64" s="273"/>
      <c r="B64" s="227" t="s">
        <v>115</v>
      </c>
      <c r="C64" s="168" t="s">
        <v>243</v>
      </c>
      <c r="D64" s="98">
        <v>20</v>
      </c>
      <c r="E64" s="114"/>
      <c r="F64" s="98" t="s">
        <v>61</v>
      </c>
      <c r="G64" s="114"/>
      <c r="H64" s="168">
        <v>126</v>
      </c>
      <c r="I64" s="168" t="s">
        <v>279</v>
      </c>
      <c r="J64" s="244">
        <v>58263.280813042547</v>
      </c>
      <c r="K64" s="239"/>
      <c r="L64" s="239"/>
      <c r="M64" s="244">
        <v>-10271.738402049485</v>
      </c>
      <c r="N64" s="112"/>
      <c r="O64" s="112"/>
      <c r="P64" s="279">
        <v>333131.17930999998</v>
      </c>
      <c r="Q64" s="280">
        <v>1332321.8972100001</v>
      </c>
      <c r="R64" s="89">
        <f>LEFT(P64,2)+MID(P64,3,2)/60+MID(P64,5,8)/3600</f>
        <v>33.525327586111111</v>
      </c>
      <c r="S64" s="89">
        <f>LEFT(Q64,3)+MID(Q64,4,2)/60+MID(Q64,6,8)/3600</f>
        <v>133.38941589166666</v>
      </c>
      <c r="T64" s="168" t="s">
        <v>255</v>
      </c>
      <c r="U64" s="163">
        <f>U62+1</f>
        <v>35</v>
      </c>
      <c r="V64" s="124" t="s">
        <v>61</v>
      </c>
      <c r="W64" s="125" t="s">
        <v>61</v>
      </c>
      <c r="X64" s="126" t="s">
        <v>61</v>
      </c>
      <c r="Y64" s="127" t="s">
        <v>61</v>
      </c>
      <c r="Z64" s="127" t="s">
        <v>61</v>
      </c>
      <c r="AA64" s="127" t="s">
        <v>61</v>
      </c>
      <c r="AB64" s="127" t="s">
        <v>61</v>
      </c>
      <c r="AC64" s="127"/>
      <c r="AD64" s="123" t="s">
        <v>129</v>
      </c>
      <c r="AE64" s="168" t="str">
        <f>"a"&amp;U64</f>
        <v>a35</v>
      </c>
      <c r="AF64" s="214" t="str">
        <f>LOWER(I64)</f>
        <v>e0acf1ad6108</v>
      </c>
      <c r="AG64" s="101" t="str">
        <f>MID(AF64,1,2)&amp;":"&amp;MID(AF64,3,2)&amp;":"&amp;MID(AF64,5,2)&amp;":"&amp;MID(AF64,7,2)&amp;":"&amp;MID(AF64,9,2)&amp;":"&amp;MID(AF64,11,2)</f>
        <v>e0:ac:f1:ad:61:08</v>
      </c>
      <c r="AH64" s="215">
        <f>S64</f>
        <v>133.38941589166666</v>
      </c>
      <c r="AI64" s="215">
        <f>R64</f>
        <v>33.525327586111111</v>
      </c>
      <c r="AJ64" s="222">
        <v>0</v>
      </c>
      <c r="AK64" s="223">
        <v>-75</v>
      </c>
      <c r="AL64" s="213" t="s">
        <v>315</v>
      </c>
      <c r="AM64" s="227" t="s">
        <v>115</v>
      </c>
      <c r="AN64" s="172">
        <f t="shared" si="22"/>
        <v>35</v>
      </c>
      <c r="AO64" s="329" t="s">
        <v>153</v>
      </c>
      <c r="AP64" s="173">
        <f>S64</f>
        <v>133.38941589166666</v>
      </c>
      <c r="AQ64" s="173">
        <f>R64</f>
        <v>33.525327586111111</v>
      </c>
      <c r="AR64" s="173">
        <v>15</v>
      </c>
      <c r="AS64" s="173" t="s">
        <v>158</v>
      </c>
      <c r="AT64" s="174" t="str">
        <f>AN62&amp;","&amp;AN65</f>
        <v>34,36</v>
      </c>
      <c r="AU64" s="227" t="s">
        <v>115</v>
      </c>
    </row>
    <row r="65" spans="1:57">
      <c r="A65" s="390">
        <v>1370</v>
      </c>
      <c r="B65" s="227" t="s">
        <v>115</v>
      </c>
      <c r="C65" s="240" t="s">
        <v>244</v>
      </c>
      <c r="D65" s="150">
        <v>41</v>
      </c>
      <c r="E65" s="151"/>
      <c r="F65" s="150" t="s">
        <v>61</v>
      </c>
      <c r="G65" s="151"/>
      <c r="H65" s="240" t="s">
        <v>61</v>
      </c>
      <c r="I65" s="240" t="s">
        <v>61</v>
      </c>
      <c r="J65" s="241">
        <v>58230.857683792274</v>
      </c>
      <c r="K65" s="242"/>
      <c r="L65" s="242"/>
      <c r="M65" s="241">
        <v>-10241.99745728221</v>
      </c>
      <c r="N65" s="38"/>
      <c r="O65" s="38"/>
      <c r="P65" s="200">
        <v>333130.12786000001</v>
      </c>
      <c r="Q65" s="201">
        <v>1332323.0512099999</v>
      </c>
      <c r="R65" s="27">
        <f t="shared" ref="R65:R66" si="25">LEFT(P65,2)+MID(P65,3,2)/60+MID(P65,5,8)/3600</f>
        <v>33.525035516666662</v>
      </c>
      <c r="S65" s="27">
        <f t="shared" ref="S65:S66" si="26">LEFT(Q65,3)+MID(Q65,4,2)/60+MID(Q65,6,8)/3600</f>
        <v>133.38973644722222</v>
      </c>
      <c r="T65" s="392" t="s">
        <v>256</v>
      </c>
      <c r="U65" s="392">
        <f>U64+1</f>
        <v>36</v>
      </c>
      <c r="V65" s="150" t="s">
        <v>359</v>
      </c>
      <c r="W65" s="35">
        <v>1</v>
      </c>
      <c r="X65" s="153">
        <v>41</v>
      </c>
      <c r="Y65" s="35">
        <f>S65</f>
        <v>133.38973644722222</v>
      </c>
      <c r="Z65" s="35">
        <f>R65</f>
        <v>33.525035516666662</v>
      </c>
      <c r="AA65" s="35">
        <v>-10</v>
      </c>
      <c r="AB65" s="72">
        <v>-70</v>
      </c>
      <c r="AC65" s="181" t="s">
        <v>174</v>
      </c>
      <c r="AD65" s="227" t="s">
        <v>115</v>
      </c>
      <c r="AE65" s="165" t="s">
        <v>61</v>
      </c>
      <c r="AF65" s="125" t="s">
        <v>61</v>
      </c>
      <c r="AG65" s="126" t="s">
        <v>61</v>
      </c>
      <c r="AH65" s="127" t="s">
        <v>61</v>
      </c>
      <c r="AI65" s="127" t="s">
        <v>61</v>
      </c>
      <c r="AJ65" s="127" t="s">
        <v>61</v>
      </c>
      <c r="AK65" s="128" t="s">
        <v>61</v>
      </c>
      <c r="AL65" s="129" t="s">
        <v>61</v>
      </c>
      <c r="AM65" s="123" t="s">
        <v>129</v>
      </c>
      <c r="AN65" s="380">
        <f>U65</f>
        <v>36</v>
      </c>
      <c r="AO65" s="388" t="s">
        <v>153</v>
      </c>
      <c r="AP65" s="382">
        <f>S65</f>
        <v>133.38973644722222</v>
      </c>
      <c r="AQ65" s="382">
        <f>R65</f>
        <v>33.525035516666662</v>
      </c>
      <c r="AR65" s="382">
        <v>15</v>
      </c>
      <c r="AS65" s="389" t="s">
        <v>162</v>
      </c>
      <c r="AT65" s="384" t="str">
        <f>AN64&amp;","&amp;AN67</f>
        <v>35,37</v>
      </c>
      <c r="AU65" s="438" t="s">
        <v>115</v>
      </c>
    </row>
    <row r="66" spans="1:57">
      <c r="A66" s="391"/>
      <c r="B66" s="227" t="s">
        <v>115</v>
      </c>
      <c r="C66" s="240" t="s">
        <v>244</v>
      </c>
      <c r="D66" s="150">
        <v>42</v>
      </c>
      <c r="E66" s="151"/>
      <c r="F66" s="150" t="s">
        <v>61</v>
      </c>
      <c r="G66" s="151"/>
      <c r="H66" s="240" t="s">
        <v>61</v>
      </c>
      <c r="I66" s="240" t="s">
        <v>61</v>
      </c>
      <c r="J66" s="241">
        <v>58230.857683792274</v>
      </c>
      <c r="K66" s="242"/>
      <c r="L66" s="242"/>
      <c r="M66" s="241">
        <v>-10241.99745728221</v>
      </c>
      <c r="N66" s="38"/>
      <c r="O66" s="38"/>
      <c r="P66" s="200">
        <v>333130.12786000001</v>
      </c>
      <c r="Q66" s="201">
        <v>1332323.0512099999</v>
      </c>
      <c r="R66" s="27">
        <f t="shared" si="25"/>
        <v>33.525035516666662</v>
      </c>
      <c r="S66" s="27">
        <f t="shared" si="26"/>
        <v>133.38973644722222</v>
      </c>
      <c r="T66" s="393"/>
      <c r="U66" s="393"/>
      <c r="V66" s="150" t="s">
        <v>337</v>
      </c>
      <c r="W66" s="35">
        <v>1</v>
      </c>
      <c r="X66" s="153">
        <v>42</v>
      </c>
      <c r="Y66" s="35">
        <f>S66</f>
        <v>133.38973644722222</v>
      </c>
      <c r="Z66" s="35">
        <f>R66</f>
        <v>33.525035516666662</v>
      </c>
      <c r="AA66" s="35">
        <v>-10</v>
      </c>
      <c r="AB66" s="72">
        <v>-70</v>
      </c>
      <c r="AC66" s="181" t="s">
        <v>174</v>
      </c>
      <c r="AD66" s="227" t="s">
        <v>115</v>
      </c>
      <c r="AE66" s="165" t="s">
        <v>61</v>
      </c>
      <c r="AF66" s="125" t="s">
        <v>61</v>
      </c>
      <c r="AG66" s="126" t="s">
        <v>61</v>
      </c>
      <c r="AH66" s="127" t="s">
        <v>61</v>
      </c>
      <c r="AI66" s="127" t="s">
        <v>61</v>
      </c>
      <c r="AJ66" s="127" t="s">
        <v>61</v>
      </c>
      <c r="AK66" s="128" t="s">
        <v>61</v>
      </c>
      <c r="AL66" s="129" t="s">
        <v>61</v>
      </c>
      <c r="AM66" s="123" t="s">
        <v>129</v>
      </c>
      <c r="AN66" s="381"/>
      <c r="AO66" s="381"/>
      <c r="AP66" s="383"/>
      <c r="AQ66" s="383"/>
      <c r="AR66" s="383"/>
      <c r="AS66" s="385"/>
      <c r="AT66" s="385"/>
      <c r="AU66" s="439"/>
    </row>
    <row r="67" spans="1:57">
      <c r="A67" s="273"/>
      <c r="B67" s="227" t="s">
        <v>115</v>
      </c>
      <c r="C67" s="168" t="s">
        <v>243</v>
      </c>
      <c r="D67" s="98">
        <v>21</v>
      </c>
      <c r="E67" s="114"/>
      <c r="F67" s="98" t="s">
        <v>61</v>
      </c>
      <c r="G67" s="114"/>
      <c r="H67" s="168">
        <v>127</v>
      </c>
      <c r="I67" s="168" t="s">
        <v>280</v>
      </c>
      <c r="J67" s="244">
        <v>58196.060783727924</v>
      </c>
      <c r="K67" s="239"/>
      <c r="L67" s="239"/>
      <c r="M67" s="244">
        <v>-10207.503368610372</v>
      </c>
      <c r="N67" s="112"/>
      <c r="O67" s="112"/>
      <c r="P67" s="279">
        <v>333128.99950999999</v>
      </c>
      <c r="Q67" s="280">
        <v>1332324.38953</v>
      </c>
      <c r="R67" s="89">
        <f>LEFT(P67,2)+MID(P67,3,2)/60+MID(P67,5,8)/3600</f>
        <v>33.524722086111112</v>
      </c>
      <c r="S67" s="89">
        <f>LEFT(Q67,3)+MID(Q67,4,2)/60+MID(Q67,6,8)/3600</f>
        <v>133.39010820277778</v>
      </c>
      <c r="T67" s="168" t="s">
        <v>257</v>
      </c>
      <c r="U67" s="163">
        <f>U65+1</f>
        <v>37</v>
      </c>
      <c r="V67" s="124" t="s">
        <v>61</v>
      </c>
      <c r="W67" s="125" t="s">
        <v>61</v>
      </c>
      <c r="X67" s="126" t="s">
        <v>61</v>
      </c>
      <c r="Y67" s="127" t="s">
        <v>61</v>
      </c>
      <c r="Z67" s="127" t="s">
        <v>61</v>
      </c>
      <c r="AA67" s="127" t="s">
        <v>61</v>
      </c>
      <c r="AB67" s="127" t="s">
        <v>61</v>
      </c>
      <c r="AC67" s="127"/>
      <c r="AD67" s="123" t="s">
        <v>129</v>
      </c>
      <c r="AE67" s="168" t="str">
        <f>"a"&amp;U67</f>
        <v>a37</v>
      </c>
      <c r="AF67" s="214" t="str">
        <f>LOWER(I67)</f>
        <v>e0acf1ad5b98</v>
      </c>
      <c r="AG67" s="101" t="str">
        <f>MID(AF67,1,2)&amp;":"&amp;MID(AF67,3,2)&amp;":"&amp;MID(AF67,5,2)&amp;":"&amp;MID(AF67,7,2)&amp;":"&amp;MID(AF67,9,2)&amp;":"&amp;MID(AF67,11,2)</f>
        <v>e0:ac:f1:ad:5b:98</v>
      </c>
      <c r="AH67" s="215">
        <f>S67</f>
        <v>133.39010820277778</v>
      </c>
      <c r="AI67" s="215">
        <f>R67</f>
        <v>33.524722086111112</v>
      </c>
      <c r="AJ67" s="222">
        <v>0</v>
      </c>
      <c r="AK67" s="223">
        <v>-75</v>
      </c>
      <c r="AL67" s="213" t="s">
        <v>313</v>
      </c>
      <c r="AM67" s="227" t="s">
        <v>115</v>
      </c>
      <c r="AN67" s="172">
        <f t="shared" si="22"/>
        <v>37</v>
      </c>
      <c r="AO67" s="329" t="s">
        <v>153</v>
      </c>
      <c r="AP67" s="173">
        <f>S67</f>
        <v>133.39010820277778</v>
      </c>
      <c r="AQ67" s="173">
        <f>R67</f>
        <v>33.524722086111112</v>
      </c>
      <c r="AR67" s="173">
        <v>15</v>
      </c>
      <c r="AS67" s="173" t="s">
        <v>158</v>
      </c>
      <c r="AT67" s="174" t="str">
        <f>AN65&amp;","&amp;AN68</f>
        <v>36,38</v>
      </c>
      <c r="AU67" s="227" t="s">
        <v>115</v>
      </c>
    </row>
    <row r="68" spans="1:57">
      <c r="A68" s="390">
        <v>1456</v>
      </c>
      <c r="B68" s="227" t="s">
        <v>115</v>
      </c>
      <c r="C68" s="240" t="s">
        <v>244</v>
      </c>
      <c r="D68" s="150">
        <v>43</v>
      </c>
      <c r="E68" s="151"/>
      <c r="F68" s="150" t="s">
        <v>61</v>
      </c>
      <c r="G68" s="151"/>
      <c r="H68" s="240" t="s">
        <v>61</v>
      </c>
      <c r="I68" s="240" t="s">
        <v>61</v>
      </c>
      <c r="J68" s="241">
        <v>58170.734819678692</v>
      </c>
      <c r="K68" s="242"/>
      <c r="L68" s="242"/>
      <c r="M68" s="241">
        <v>-10180.531400012727</v>
      </c>
      <c r="N68" s="38"/>
      <c r="O68" s="38"/>
      <c r="P68" s="200">
        <v>333128.17833000002</v>
      </c>
      <c r="Q68" s="201">
        <v>1332325.43591</v>
      </c>
      <c r="R68" s="27">
        <f t="shared" ref="R68:R69" si="27">LEFT(P68,2)+MID(P68,3,2)/60+MID(P68,5,8)/3600</f>
        <v>33.524493980555555</v>
      </c>
      <c r="S68" s="27">
        <f t="shared" ref="S68" si="28">LEFT(Q68,3)+MID(Q68,4,2)/60+MID(Q68,6,8)/3600</f>
        <v>133.39039886388889</v>
      </c>
      <c r="T68" s="392" t="s">
        <v>258</v>
      </c>
      <c r="U68" s="392">
        <f>U67+1</f>
        <v>38</v>
      </c>
      <c r="V68" s="150" t="s">
        <v>338</v>
      </c>
      <c r="W68" s="35">
        <v>1</v>
      </c>
      <c r="X68" s="153">
        <v>43</v>
      </c>
      <c r="Y68" s="35">
        <f>S68</f>
        <v>133.39039886388889</v>
      </c>
      <c r="Z68" s="35">
        <f>R68</f>
        <v>33.524493980555555</v>
      </c>
      <c r="AA68" s="35">
        <v>-10</v>
      </c>
      <c r="AB68" s="72">
        <v>-70</v>
      </c>
      <c r="AC68" s="181" t="s">
        <v>174</v>
      </c>
      <c r="AD68" s="227" t="s">
        <v>115</v>
      </c>
      <c r="AE68" s="165" t="s">
        <v>61</v>
      </c>
      <c r="AF68" s="125" t="s">
        <v>61</v>
      </c>
      <c r="AG68" s="126" t="s">
        <v>61</v>
      </c>
      <c r="AH68" s="127" t="s">
        <v>61</v>
      </c>
      <c r="AI68" s="127" t="s">
        <v>61</v>
      </c>
      <c r="AJ68" s="127" t="s">
        <v>61</v>
      </c>
      <c r="AK68" s="128" t="s">
        <v>61</v>
      </c>
      <c r="AL68" s="129" t="s">
        <v>61</v>
      </c>
      <c r="AM68" s="123" t="s">
        <v>129</v>
      </c>
      <c r="AN68" s="380">
        <f>U68</f>
        <v>38</v>
      </c>
      <c r="AO68" s="388" t="s">
        <v>153</v>
      </c>
      <c r="AP68" s="382">
        <f>S68</f>
        <v>133.39039886388889</v>
      </c>
      <c r="AQ68" s="382">
        <f>R68</f>
        <v>33.524493980555555</v>
      </c>
      <c r="AR68" s="382">
        <v>15</v>
      </c>
      <c r="AS68" s="389" t="s">
        <v>162</v>
      </c>
      <c r="AT68" s="384" t="str">
        <f>AN67&amp;","&amp;AN109</f>
        <v>37,39</v>
      </c>
      <c r="AU68" s="438" t="s">
        <v>115</v>
      </c>
    </row>
    <row r="69" spans="1:57">
      <c r="A69" s="391"/>
      <c r="B69" s="227" t="s">
        <v>115</v>
      </c>
      <c r="C69" s="240" t="s">
        <v>244</v>
      </c>
      <c r="D69" s="150">
        <v>44</v>
      </c>
      <c r="E69" s="151"/>
      <c r="F69" s="150" t="s">
        <v>61</v>
      </c>
      <c r="G69" s="151"/>
      <c r="H69" s="240" t="s">
        <v>61</v>
      </c>
      <c r="I69" s="240" t="s">
        <v>61</v>
      </c>
      <c r="J69" s="241">
        <v>58170.734819678692</v>
      </c>
      <c r="K69" s="242"/>
      <c r="L69" s="242"/>
      <c r="M69" s="241">
        <v>-10180.531400012727</v>
      </c>
      <c r="N69" s="38"/>
      <c r="O69" s="38"/>
      <c r="P69" s="200">
        <v>333128.17833000002</v>
      </c>
      <c r="Q69" s="201">
        <v>1332325.43591</v>
      </c>
      <c r="R69" s="27">
        <f t="shared" si="27"/>
        <v>33.524493980555555</v>
      </c>
      <c r="S69" s="27">
        <f>LEFT(Q69,3)+MID(Q69,4,2)/60+MID(Q69,6,8)/3600</f>
        <v>133.39039886388889</v>
      </c>
      <c r="T69" s="393"/>
      <c r="U69" s="393"/>
      <c r="V69" s="150" t="s">
        <v>339</v>
      </c>
      <c r="W69" s="35">
        <v>1</v>
      </c>
      <c r="X69" s="153">
        <v>44</v>
      </c>
      <c r="Y69" s="35">
        <f>S69</f>
        <v>133.39039886388889</v>
      </c>
      <c r="Z69" s="35">
        <f>R69</f>
        <v>33.524493980555555</v>
      </c>
      <c r="AA69" s="35">
        <v>-10</v>
      </c>
      <c r="AB69" s="72">
        <v>-70</v>
      </c>
      <c r="AC69" s="181" t="s">
        <v>174</v>
      </c>
      <c r="AD69" s="227" t="s">
        <v>115</v>
      </c>
      <c r="AE69" s="165" t="s">
        <v>61</v>
      </c>
      <c r="AF69" s="125" t="s">
        <v>61</v>
      </c>
      <c r="AG69" s="126" t="s">
        <v>61</v>
      </c>
      <c r="AH69" s="127" t="s">
        <v>61</v>
      </c>
      <c r="AI69" s="127" t="s">
        <v>61</v>
      </c>
      <c r="AJ69" s="127" t="s">
        <v>61</v>
      </c>
      <c r="AK69" s="128" t="s">
        <v>61</v>
      </c>
      <c r="AL69" s="129" t="s">
        <v>61</v>
      </c>
      <c r="AM69" s="123" t="s">
        <v>129</v>
      </c>
      <c r="AN69" s="381"/>
      <c r="AO69" s="381"/>
      <c r="AP69" s="383"/>
      <c r="AQ69" s="383"/>
      <c r="AR69" s="383"/>
      <c r="AS69" s="385"/>
      <c r="AT69" s="385"/>
      <c r="AU69" s="439"/>
    </row>
    <row r="70" spans="1:57" s="17" customFormat="1" ht="30">
      <c r="A70" s="361" t="s">
        <v>174</v>
      </c>
      <c r="B70" s="360" t="s">
        <v>491</v>
      </c>
      <c r="C70" s="364" t="s">
        <v>243</v>
      </c>
      <c r="D70" s="364" t="s">
        <v>61</v>
      </c>
      <c r="E70" s="83"/>
      <c r="F70" s="364" t="s">
        <v>61</v>
      </c>
      <c r="G70" s="83"/>
      <c r="H70" s="364" t="s">
        <v>61</v>
      </c>
      <c r="I70" s="364" t="s">
        <v>61</v>
      </c>
      <c r="J70" s="366" t="s">
        <v>61</v>
      </c>
      <c r="K70" s="367"/>
      <c r="L70" s="367"/>
      <c r="M70" s="366" t="s">
        <v>61</v>
      </c>
      <c r="N70" s="368"/>
      <c r="O70" s="368"/>
      <c r="P70" s="369" t="s">
        <v>61</v>
      </c>
      <c r="Q70" s="369" t="s">
        <v>61</v>
      </c>
      <c r="R70" s="369">
        <f>IFERROR(LEFT(P70,2)+MID(P70,3,2)/60+MID(P70,5,8)/3600,0)</f>
        <v>0</v>
      </c>
      <c r="S70" s="369">
        <f>IFERROR(LEFT(Q70,3)+MID(Q70,4,2)/60+MID(Q70,6,8)/3600,0)</f>
        <v>0</v>
      </c>
      <c r="T70" s="364" t="s">
        <v>259</v>
      </c>
      <c r="U70" s="123">
        <f>U68+1</f>
        <v>39</v>
      </c>
      <c r="V70" s="370" t="s">
        <v>61</v>
      </c>
      <c r="W70" s="371" t="s">
        <v>61</v>
      </c>
      <c r="X70" s="372" t="s">
        <v>61</v>
      </c>
      <c r="Y70" s="373" t="s">
        <v>61</v>
      </c>
      <c r="Z70" s="373" t="s">
        <v>61</v>
      </c>
      <c r="AA70" s="373" t="s">
        <v>61</v>
      </c>
      <c r="AB70" s="373" t="s">
        <v>61</v>
      </c>
      <c r="AC70" s="373"/>
      <c r="AD70" s="123" t="s">
        <v>129</v>
      </c>
      <c r="AE70" s="364" t="s">
        <v>61</v>
      </c>
      <c r="AF70" s="365" t="s">
        <v>61</v>
      </c>
      <c r="AG70" s="372" t="s">
        <v>61</v>
      </c>
      <c r="AH70" s="373" t="s">
        <v>61</v>
      </c>
      <c r="AI70" s="373" t="s">
        <v>61</v>
      </c>
      <c r="AJ70" s="373" t="s">
        <v>61</v>
      </c>
      <c r="AK70" s="374" t="s">
        <v>61</v>
      </c>
      <c r="AL70" s="375" t="s">
        <v>61</v>
      </c>
      <c r="AM70" s="123" t="s">
        <v>129</v>
      </c>
      <c r="AN70" s="328">
        <f t="shared" si="22"/>
        <v>39</v>
      </c>
      <c r="AO70" s="329" t="s">
        <v>153</v>
      </c>
      <c r="AP70" s="330">
        <f>AP109</f>
        <v>133.39091140833332</v>
      </c>
      <c r="AQ70" s="330">
        <f>AQ109</f>
        <v>33.524107749999999</v>
      </c>
      <c r="AR70" s="330">
        <f>AR109</f>
        <v>15</v>
      </c>
      <c r="AS70" s="329" t="str">
        <f>AS109</f>
        <v>mainRight</v>
      </c>
      <c r="AT70" s="174" t="str">
        <f>AN68&amp;","&amp;AN71</f>
        <v>38,40</v>
      </c>
      <c r="AU70" s="227" t="s">
        <v>115</v>
      </c>
      <c r="AV70" s="362" t="s">
        <v>489</v>
      </c>
      <c r="AW70" s="362"/>
      <c r="AX70" s="362"/>
      <c r="AY70" s="362"/>
      <c r="AZ70" s="362"/>
      <c r="BA70" s="362"/>
      <c r="BB70" s="362"/>
      <c r="BC70" s="363"/>
      <c r="BD70" s="363"/>
      <c r="BE70" s="363"/>
    </row>
    <row r="71" spans="1:57">
      <c r="A71" s="278" t="s">
        <v>174</v>
      </c>
      <c r="B71" s="116" t="s">
        <v>159</v>
      </c>
      <c r="C71" s="165" t="s">
        <v>244</v>
      </c>
      <c r="D71" s="124" t="s">
        <v>61</v>
      </c>
      <c r="E71" s="114"/>
      <c r="F71" s="124" t="s">
        <v>61</v>
      </c>
      <c r="G71" s="114"/>
      <c r="H71" s="165" t="s">
        <v>61</v>
      </c>
      <c r="I71" s="165" t="s">
        <v>61</v>
      </c>
      <c r="J71" s="124" t="s">
        <v>61</v>
      </c>
      <c r="K71" s="87"/>
      <c r="L71" s="87"/>
      <c r="M71" s="124" t="s">
        <v>61</v>
      </c>
      <c r="N71" s="112"/>
      <c r="O71" s="112"/>
      <c r="P71" s="204" t="s">
        <v>61</v>
      </c>
      <c r="Q71" s="204" t="s">
        <v>61</v>
      </c>
      <c r="R71" s="204">
        <f t="shared" ref="R71:R105" si="29">IFERROR(LEFT(P71,2)+MID(P71,3,2)/60+MID(P71,5,8)/3600,0)</f>
        <v>0</v>
      </c>
      <c r="S71" s="124">
        <f t="shared" ref="S71:S105" si="30">IFERROR(LEFT(Q71,3)+MID(Q71,4,2)/60+MID(Q71,6,8)/3600,0)</f>
        <v>0</v>
      </c>
      <c r="T71" s="394" t="s">
        <v>260</v>
      </c>
      <c r="U71" s="394">
        <f>U70+1</f>
        <v>40</v>
      </c>
      <c r="V71" s="124" t="s">
        <v>61</v>
      </c>
      <c r="W71" s="125" t="s">
        <v>61</v>
      </c>
      <c r="X71" s="126" t="s">
        <v>61</v>
      </c>
      <c r="Y71" s="127" t="s">
        <v>61</v>
      </c>
      <c r="Z71" s="127" t="s">
        <v>61</v>
      </c>
      <c r="AA71" s="127" t="s">
        <v>61</v>
      </c>
      <c r="AB71" s="127" t="s">
        <v>61</v>
      </c>
      <c r="AC71" s="127"/>
      <c r="AD71" s="123" t="s">
        <v>129</v>
      </c>
      <c r="AE71" s="165" t="s">
        <v>61</v>
      </c>
      <c r="AF71" s="125" t="s">
        <v>61</v>
      </c>
      <c r="AG71" s="126" t="s">
        <v>61</v>
      </c>
      <c r="AH71" s="127" t="s">
        <v>61</v>
      </c>
      <c r="AI71" s="127" t="s">
        <v>61</v>
      </c>
      <c r="AJ71" s="127" t="s">
        <v>61</v>
      </c>
      <c r="AK71" s="128" t="s">
        <v>61</v>
      </c>
      <c r="AL71" s="129" t="s">
        <v>61</v>
      </c>
      <c r="AM71" s="123" t="s">
        <v>129</v>
      </c>
      <c r="AN71" s="380">
        <f>U71</f>
        <v>40</v>
      </c>
      <c r="AO71" s="388" t="s">
        <v>153</v>
      </c>
      <c r="AP71" s="382">
        <f>R71</f>
        <v>0</v>
      </c>
      <c r="AQ71" s="382">
        <f>S71</f>
        <v>0</v>
      </c>
      <c r="AR71" s="382">
        <v>0</v>
      </c>
      <c r="AS71" s="389" t="s">
        <v>162</v>
      </c>
      <c r="AT71" s="384" t="str">
        <f>AN70&amp;","&amp;AN73</f>
        <v>39,41</v>
      </c>
      <c r="AU71" s="396" t="s">
        <v>241</v>
      </c>
    </row>
    <row r="72" spans="1:57">
      <c r="A72" s="278" t="s">
        <v>174</v>
      </c>
      <c r="B72" s="116" t="s">
        <v>159</v>
      </c>
      <c r="C72" s="165" t="s">
        <v>244</v>
      </c>
      <c r="D72" s="124" t="s">
        <v>61</v>
      </c>
      <c r="E72" s="114"/>
      <c r="F72" s="124" t="s">
        <v>61</v>
      </c>
      <c r="G72" s="114"/>
      <c r="H72" s="165" t="s">
        <v>61</v>
      </c>
      <c r="I72" s="165" t="s">
        <v>61</v>
      </c>
      <c r="J72" s="124" t="s">
        <v>61</v>
      </c>
      <c r="K72" s="87"/>
      <c r="L72" s="87"/>
      <c r="M72" s="124" t="s">
        <v>61</v>
      </c>
      <c r="N72" s="112"/>
      <c r="O72" s="112"/>
      <c r="P72" s="204" t="s">
        <v>61</v>
      </c>
      <c r="Q72" s="204" t="s">
        <v>61</v>
      </c>
      <c r="R72" s="204">
        <f t="shared" si="29"/>
        <v>0</v>
      </c>
      <c r="S72" s="124">
        <f t="shared" si="30"/>
        <v>0</v>
      </c>
      <c r="T72" s="395"/>
      <c r="U72" s="395"/>
      <c r="V72" s="124" t="s">
        <v>61</v>
      </c>
      <c r="W72" s="125" t="s">
        <v>61</v>
      </c>
      <c r="X72" s="126" t="s">
        <v>61</v>
      </c>
      <c r="Y72" s="127" t="s">
        <v>61</v>
      </c>
      <c r="Z72" s="127" t="s">
        <v>61</v>
      </c>
      <c r="AA72" s="127" t="s">
        <v>61</v>
      </c>
      <c r="AB72" s="127" t="s">
        <v>61</v>
      </c>
      <c r="AC72" s="127"/>
      <c r="AD72" s="123" t="s">
        <v>129</v>
      </c>
      <c r="AE72" s="165" t="s">
        <v>61</v>
      </c>
      <c r="AF72" s="125" t="s">
        <v>61</v>
      </c>
      <c r="AG72" s="126" t="s">
        <v>61</v>
      </c>
      <c r="AH72" s="127" t="s">
        <v>61</v>
      </c>
      <c r="AI72" s="127" t="s">
        <v>61</v>
      </c>
      <c r="AJ72" s="127" t="s">
        <v>61</v>
      </c>
      <c r="AK72" s="128" t="s">
        <v>61</v>
      </c>
      <c r="AL72" s="129" t="s">
        <v>61</v>
      </c>
      <c r="AM72" s="123" t="s">
        <v>129</v>
      </c>
      <c r="AN72" s="381"/>
      <c r="AO72" s="381"/>
      <c r="AP72" s="383"/>
      <c r="AQ72" s="383"/>
      <c r="AR72" s="383"/>
      <c r="AS72" s="385"/>
      <c r="AT72" s="385"/>
      <c r="AU72" s="397"/>
    </row>
    <row r="73" spans="1:57">
      <c r="A73" s="278" t="s">
        <v>174</v>
      </c>
      <c r="B73" s="116" t="s">
        <v>159</v>
      </c>
      <c r="C73" s="165" t="s">
        <v>243</v>
      </c>
      <c r="D73" s="124" t="s">
        <v>61</v>
      </c>
      <c r="E73" s="114"/>
      <c r="F73" s="124" t="s">
        <v>61</v>
      </c>
      <c r="G73" s="114"/>
      <c r="H73" s="165" t="s">
        <v>61</v>
      </c>
      <c r="I73" s="165" t="s">
        <v>61</v>
      </c>
      <c r="J73" s="124" t="s">
        <v>61</v>
      </c>
      <c r="K73" s="87"/>
      <c r="L73" s="87"/>
      <c r="M73" s="124" t="s">
        <v>61</v>
      </c>
      <c r="N73" s="112"/>
      <c r="O73" s="112"/>
      <c r="P73" s="204" t="s">
        <v>61</v>
      </c>
      <c r="Q73" s="204" t="s">
        <v>61</v>
      </c>
      <c r="R73" s="204">
        <f t="shared" si="29"/>
        <v>0</v>
      </c>
      <c r="S73" s="124">
        <f t="shared" si="30"/>
        <v>0</v>
      </c>
      <c r="T73" s="165" t="s">
        <v>261</v>
      </c>
      <c r="U73" s="169">
        <f>U71+1</f>
        <v>41</v>
      </c>
      <c r="V73" s="124" t="s">
        <v>61</v>
      </c>
      <c r="W73" s="125" t="s">
        <v>61</v>
      </c>
      <c r="X73" s="126" t="s">
        <v>61</v>
      </c>
      <c r="Y73" s="127" t="s">
        <v>61</v>
      </c>
      <c r="Z73" s="127" t="s">
        <v>61</v>
      </c>
      <c r="AA73" s="127" t="s">
        <v>61</v>
      </c>
      <c r="AB73" s="127" t="s">
        <v>61</v>
      </c>
      <c r="AC73" s="127"/>
      <c r="AD73" s="123" t="s">
        <v>129</v>
      </c>
      <c r="AE73" s="165" t="s">
        <v>61</v>
      </c>
      <c r="AF73" s="125" t="s">
        <v>61</v>
      </c>
      <c r="AG73" s="126" t="s">
        <v>61</v>
      </c>
      <c r="AH73" s="127" t="s">
        <v>61</v>
      </c>
      <c r="AI73" s="127" t="s">
        <v>61</v>
      </c>
      <c r="AJ73" s="127" t="s">
        <v>61</v>
      </c>
      <c r="AK73" s="128" t="s">
        <v>61</v>
      </c>
      <c r="AL73" s="129" t="s">
        <v>61</v>
      </c>
      <c r="AM73" s="123" t="s">
        <v>129</v>
      </c>
      <c r="AN73" s="172">
        <f t="shared" si="22"/>
        <v>41</v>
      </c>
      <c r="AO73" s="329" t="s">
        <v>153</v>
      </c>
      <c r="AP73" s="173">
        <f>R73</f>
        <v>0</v>
      </c>
      <c r="AQ73" s="173">
        <f>S73</f>
        <v>0</v>
      </c>
      <c r="AR73" s="173">
        <v>0</v>
      </c>
      <c r="AS73" s="173" t="s">
        <v>158</v>
      </c>
      <c r="AT73" s="174" t="str">
        <f>AN71&amp;","&amp;AN74</f>
        <v>40,42</v>
      </c>
      <c r="AU73" s="155" t="s">
        <v>241</v>
      </c>
    </row>
    <row r="74" spans="1:57">
      <c r="A74" s="278" t="s">
        <v>174</v>
      </c>
      <c r="B74" s="116" t="s">
        <v>159</v>
      </c>
      <c r="C74" s="165" t="s">
        <v>244</v>
      </c>
      <c r="D74" s="124" t="s">
        <v>61</v>
      </c>
      <c r="E74" s="114"/>
      <c r="F74" s="124" t="s">
        <v>61</v>
      </c>
      <c r="G74" s="114"/>
      <c r="H74" s="165" t="s">
        <v>61</v>
      </c>
      <c r="I74" s="165" t="s">
        <v>61</v>
      </c>
      <c r="J74" s="124" t="s">
        <v>61</v>
      </c>
      <c r="K74" s="87"/>
      <c r="L74" s="87"/>
      <c r="M74" s="124" t="s">
        <v>61</v>
      </c>
      <c r="N74" s="112"/>
      <c r="O74" s="112"/>
      <c r="P74" s="204" t="s">
        <v>61</v>
      </c>
      <c r="Q74" s="204" t="s">
        <v>61</v>
      </c>
      <c r="R74" s="204">
        <f t="shared" si="29"/>
        <v>0</v>
      </c>
      <c r="S74" s="124">
        <f t="shared" si="30"/>
        <v>0</v>
      </c>
      <c r="T74" s="394" t="s">
        <v>262</v>
      </c>
      <c r="U74" s="394">
        <f>U73+1</f>
        <v>42</v>
      </c>
      <c r="V74" s="124" t="s">
        <v>61</v>
      </c>
      <c r="W74" s="125" t="s">
        <v>61</v>
      </c>
      <c r="X74" s="126" t="s">
        <v>61</v>
      </c>
      <c r="Y74" s="127" t="s">
        <v>61</v>
      </c>
      <c r="Z74" s="127" t="s">
        <v>61</v>
      </c>
      <c r="AA74" s="127" t="s">
        <v>61</v>
      </c>
      <c r="AB74" s="127" t="s">
        <v>61</v>
      </c>
      <c r="AC74" s="127"/>
      <c r="AD74" s="123" t="s">
        <v>129</v>
      </c>
      <c r="AE74" s="165" t="s">
        <v>61</v>
      </c>
      <c r="AF74" s="125" t="s">
        <v>61</v>
      </c>
      <c r="AG74" s="126" t="s">
        <v>61</v>
      </c>
      <c r="AH74" s="127" t="s">
        <v>61</v>
      </c>
      <c r="AI74" s="127" t="s">
        <v>61</v>
      </c>
      <c r="AJ74" s="127" t="s">
        <v>61</v>
      </c>
      <c r="AK74" s="128" t="s">
        <v>61</v>
      </c>
      <c r="AL74" s="129" t="s">
        <v>61</v>
      </c>
      <c r="AM74" s="123" t="s">
        <v>129</v>
      </c>
      <c r="AN74" s="380">
        <f>U74</f>
        <v>42</v>
      </c>
      <c r="AO74" s="388" t="s">
        <v>153</v>
      </c>
      <c r="AP74" s="382">
        <f>R74</f>
        <v>0</v>
      </c>
      <c r="AQ74" s="382">
        <f>S74</f>
        <v>0</v>
      </c>
      <c r="AR74" s="382">
        <v>0</v>
      </c>
      <c r="AS74" s="389" t="s">
        <v>162</v>
      </c>
      <c r="AT74" s="384" t="str">
        <f>AN73&amp;","&amp;AN76</f>
        <v>41,43</v>
      </c>
      <c r="AU74" s="396" t="s">
        <v>241</v>
      </c>
    </row>
    <row r="75" spans="1:57">
      <c r="A75" s="278" t="s">
        <v>174</v>
      </c>
      <c r="B75" s="116" t="s">
        <v>159</v>
      </c>
      <c r="C75" s="165" t="s">
        <v>244</v>
      </c>
      <c r="D75" s="124" t="s">
        <v>61</v>
      </c>
      <c r="E75" s="114"/>
      <c r="F75" s="124" t="s">
        <v>61</v>
      </c>
      <c r="G75" s="114"/>
      <c r="H75" s="165" t="s">
        <v>61</v>
      </c>
      <c r="I75" s="165" t="s">
        <v>61</v>
      </c>
      <c r="J75" s="124" t="s">
        <v>61</v>
      </c>
      <c r="K75" s="87"/>
      <c r="L75" s="87"/>
      <c r="M75" s="124" t="s">
        <v>61</v>
      </c>
      <c r="N75" s="112"/>
      <c r="O75" s="112"/>
      <c r="P75" s="204" t="s">
        <v>61</v>
      </c>
      <c r="Q75" s="204" t="s">
        <v>61</v>
      </c>
      <c r="R75" s="204">
        <f t="shared" si="29"/>
        <v>0</v>
      </c>
      <c r="S75" s="124">
        <f t="shared" si="30"/>
        <v>0</v>
      </c>
      <c r="T75" s="395"/>
      <c r="U75" s="395"/>
      <c r="V75" s="124" t="s">
        <v>61</v>
      </c>
      <c r="W75" s="125" t="s">
        <v>61</v>
      </c>
      <c r="X75" s="126" t="s">
        <v>61</v>
      </c>
      <c r="Y75" s="127" t="s">
        <v>61</v>
      </c>
      <c r="Z75" s="127" t="s">
        <v>61</v>
      </c>
      <c r="AA75" s="127" t="s">
        <v>61</v>
      </c>
      <c r="AB75" s="127" t="s">
        <v>61</v>
      </c>
      <c r="AC75" s="127"/>
      <c r="AD75" s="123" t="s">
        <v>129</v>
      </c>
      <c r="AE75" s="165" t="s">
        <v>61</v>
      </c>
      <c r="AF75" s="125" t="s">
        <v>61</v>
      </c>
      <c r="AG75" s="126" t="s">
        <v>61</v>
      </c>
      <c r="AH75" s="127" t="s">
        <v>61</v>
      </c>
      <c r="AI75" s="127" t="s">
        <v>61</v>
      </c>
      <c r="AJ75" s="127" t="s">
        <v>61</v>
      </c>
      <c r="AK75" s="128" t="s">
        <v>61</v>
      </c>
      <c r="AL75" s="129" t="s">
        <v>61</v>
      </c>
      <c r="AM75" s="123" t="s">
        <v>129</v>
      </c>
      <c r="AN75" s="381"/>
      <c r="AO75" s="381"/>
      <c r="AP75" s="383"/>
      <c r="AQ75" s="383"/>
      <c r="AR75" s="383"/>
      <c r="AS75" s="385"/>
      <c r="AT75" s="385"/>
      <c r="AU75" s="397"/>
    </row>
    <row r="76" spans="1:57">
      <c r="A76" s="278" t="s">
        <v>141</v>
      </c>
      <c r="B76" s="116" t="s">
        <v>159</v>
      </c>
      <c r="C76" s="165" t="s">
        <v>243</v>
      </c>
      <c r="D76" s="124" t="s">
        <v>61</v>
      </c>
      <c r="E76" s="114"/>
      <c r="F76" s="124" t="s">
        <v>61</v>
      </c>
      <c r="G76" s="114"/>
      <c r="H76" s="165" t="s">
        <v>61</v>
      </c>
      <c r="I76" s="165" t="s">
        <v>61</v>
      </c>
      <c r="J76" s="124" t="s">
        <v>61</v>
      </c>
      <c r="K76" s="87"/>
      <c r="L76" s="87"/>
      <c r="M76" s="124" t="s">
        <v>61</v>
      </c>
      <c r="N76" s="112"/>
      <c r="O76" s="112"/>
      <c r="P76" s="204" t="s">
        <v>61</v>
      </c>
      <c r="Q76" s="204" t="s">
        <v>61</v>
      </c>
      <c r="R76" s="204">
        <f t="shared" ref="R76:R90" si="31">IFERROR(LEFT(P76,2)+MID(P76,3,2)/60+MID(P76,5,8)/3600,0)</f>
        <v>0</v>
      </c>
      <c r="S76" s="124">
        <f t="shared" ref="S76:S90" si="32">IFERROR(LEFT(Q76,3)+MID(Q76,4,2)/60+MID(Q76,6,8)/3600,0)</f>
        <v>0</v>
      </c>
      <c r="T76" s="165" t="s">
        <v>263</v>
      </c>
      <c r="U76" s="169">
        <f>U74+1</f>
        <v>43</v>
      </c>
      <c r="V76" s="124" t="s">
        <v>61</v>
      </c>
      <c r="W76" s="125" t="s">
        <v>61</v>
      </c>
      <c r="X76" s="126" t="s">
        <v>61</v>
      </c>
      <c r="Y76" s="127" t="s">
        <v>61</v>
      </c>
      <c r="Z76" s="127" t="s">
        <v>61</v>
      </c>
      <c r="AA76" s="127" t="s">
        <v>61</v>
      </c>
      <c r="AB76" s="127" t="s">
        <v>61</v>
      </c>
      <c r="AC76" s="127"/>
      <c r="AD76" s="123" t="s">
        <v>129</v>
      </c>
      <c r="AE76" s="165" t="s">
        <v>61</v>
      </c>
      <c r="AF76" s="125" t="s">
        <v>61</v>
      </c>
      <c r="AG76" s="126" t="s">
        <v>61</v>
      </c>
      <c r="AH76" s="127" t="s">
        <v>61</v>
      </c>
      <c r="AI76" s="127" t="s">
        <v>61</v>
      </c>
      <c r="AJ76" s="127" t="s">
        <v>61</v>
      </c>
      <c r="AK76" s="128" t="s">
        <v>61</v>
      </c>
      <c r="AL76" s="129" t="s">
        <v>61</v>
      </c>
      <c r="AM76" s="123" t="s">
        <v>129</v>
      </c>
      <c r="AN76" s="284">
        <f t="shared" ref="AN76" si="33">U76</f>
        <v>43</v>
      </c>
      <c r="AO76" s="329" t="s">
        <v>153</v>
      </c>
      <c r="AP76" s="173">
        <f>R76</f>
        <v>0</v>
      </c>
      <c r="AQ76" s="173">
        <f>S76</f>
        <v>0</v>
      </c>
      <c r="AR76" s="173">
        <v>0</v>
      </c>
      <c r="AS76" s="173" t="s">
        <v>158</v>
      </c>
      <c r="AT76" s="174" t="str">
        <f>AN74&amp;","&amp;AN77</f>
        <v>42,44</v>
      </c>
      <c r="AU76" s="155" t="s">
        <v>241</v>
      </c>
    </row>
    <row r="77" spans="1:57">
      <c r="A77" s="278" t="s">
        <v>141</v>
      </c>
      <c r="B77" s="116" t="s">
        <v>159</v>
      </c>
      <c r="C77" s="165" t="s">
        <v>244</v>
      </c>
      <c r="D77" s="124" t="s">
        <v>61</v>
      </c>
      <c r="E77" s="114"/>
      <c r="F77" s="124" t="s">
        <v>61</v>
      </c>
      <c r="G77" s="114"/>
      <c r="H77" s="165" t="s">
        <v>61</v>
      </c>
      <c r="I77" s="165" t="s">
        <v>61</v>
      </c>
      <c r="J77" s="124" t="s">
        <v>61</v>
      </c>
      <c r="K77" s="87"/>
      <c r="L77" s="87"/>
      <c r="M77" s="124" t="s">
        <v>61</v>
      </c>
      <c r="N77" s="112"/>
      <c r="O77" s="112"/>
      <c r="P77" s="204" t="s">
        <v>61</v>
      </c>
      <c r="Q77" s="204" t="s">
        <v>61</v>
      </c>
      <c r="R77" s="204">
        <f t="shared" si="31"/>
        <v>0</v>
      </c>
      <c r="S77" s="124">
        <f t="shared" si="32"/>
        <v>0</v>
      </c>
      <c r="T77" s="394" t="s">
        <v>264</v>
      </c>
      <c r="U77" s="394">
        <f>U76+1</f>
        <v>44</v>
      </c>
      <c r="V77" s="124" t="s">
        <v>61</v>
      </c>
      <c r="W77" s="125" t="s">
        <v>61</v>
      </c>
      <c r="X77" s="126" t="s">
        <v>61</v>
      </c>
      <c r="Y77" s="127" t="s">
        <v>61</v>
      </c>
      <c r="Z77" s="127" t="s">
        <v>61</v>
      </c>
      <c r="AA77" s="127" t="s">
        <v>61</v>
      </c>
      <c r="AB77" s="127" t="s">
        <v>61</v>
      </c>
      <c r="AC77" s="127"/>
      <c r="AD77" s="123" t="s">
        <v>129</v>
      </c>
      <c r="AE77" s="165" t="s">
        <v>61</v>
      </c>
      <c r="AF77" s="125" t="s">
        <v>61</v>
      </c>
      <c r="AG77" s="126" t="s">
        <v>61</v>
      </c>
      <c r="AH77" s="127" t="s">
        <v>61</v>
      </c>
      <c r="AI77" s="127" t="s">
        <v>61</v>
      </c>
      <c r="AJ77" s="127" t="s">
        <v>61</v>
      </c>
      <c r="AK77" s="128" t="s">
        <v>61</v>
      </c>
      <c r="AL77" s="129" t="s">
        <v>61</v>
      </c>
      <c r="AM77" s="123" t="s">
        <v>129</v>
      </c>
      <c r="AN77" s="380">
        <f>U77</f>
        <v>44</v>
      </c>
      <c r="AO77" s="388" t="s">
        <v>153</v>
      </c>
      <c r="AP77" s="382">
        <f>R77</f>
        <v>0</v>
      </c>
      <c r="AQ77" s="382">
        <f>S77</f>
        <v>0</v>
      </c>
      <c r="AR77" s="382">
        <v>0</v>
      </c>
      <c r="AS77" s="389" t="s">
        <v>158</v>
      </c>
      <c r="AT77" s="384" t="str">
        <f>AN76&amp;","&amp;AN79</f>
        <v>43,45</v>
      </c>
      <c r="AU77" s="396" t="s">
        <v>241</v>
      </c>
    </row>
    <row r="78" spans="1:57">
      <c r="A78" s="278" t="s">
        <v>141</v>
      </c>
      <c r="B78" s="116" t="s">
        <v>159</v>
      </c>
      <c r="C78" s="165" t="s">
        <v>244</v>
      </c>
      <c r="D78" s="124" t="s">
        <v>61</v>
      </c>
      <c r="E78" s="114"/>
      <c r="F78" s="124" t="s">
        <v>61</v>
      </c>
      <c r="G78" s="114"/>
      <c r="H78" s="165" t="s">
        <v>61</v>
      </c>
      <c r="I78" s="165" t="s">
        <v>61</v>
      </c>
      <c r="J78" s="124" t="s">
        <v>61</v>
      </c>
      <c r="K78" s="87"/>
      <c r="L78" s="87"/>
      <c r="M78" s="124" t="s">
        <v>61</v>
      </c>
      <c r="N78" s="112"/>
      <c r="O78" s="112"/>
      <c r="P78" s="204" t="s">
        <v>61</v>
      </c>
      <c r="Q78" s="204" t="s">
        <v>61</v>
      </c>
      <c r="R78" s="204">
        <f t="shared" si="31"/>
        <v>0</v>
      </c>
      <c r="S78" s="124">
        <f t="shared" si="32"/>
        <v>0</v>
      </c>
      <c r="T78" s="395"/>
      <c r="U78" s="395"/>
      <c r="V78" s="124" t="s">
        <v>61</v>
      </c>
      <c r="W78" s="125" t="s">
        <v>61</v>
      </c>
      <c r="X78" s="126" t="s">
        <v>61</v>
      </c>
      <c r="Y78" s="127" t="s">
        <v>61</v>
      </c>
      <c r="Z78" s="127" t="s">
        <v>61</v>
      </c>
      <c r="AA78" s="127" t="s">
        <v>61</v>
      </c>
      <c r="AB78" s="127" t="s">
        <v>61</v>
      </c>
      <c r="AC78" s="127"/>
      <c r="AD78" s="123" t="s">
        <v>129</v>
      </c>
      <c r="AE78" s="165" t="s">
        <v>61</v>
      </c>
      <c r="AF78" s="125" t="s">
        <v>61</v>
      </c>
      <c r="AG78" s="126" t="s">
        <v>61</v>
      </c>
      <c r="AH78" s="127" t="s">
        <v>61</v>
      </c>
      <c r="AI78" s="127" t="s">
        <v>61</v>
      </c>
      <c r="AJ78" s="127" t="s">
        <v>61</v>
      </c>
      <c r="AK78" s="128" t="s">
        <v>61</v>
      </c>
      <c r="AL78" s="129" t="s">
        <v>61</v>
      </c>
      <c r="AM78" s="123" t="s">
        <v>129</v>
      </c>
      <c r="AN78" s="381"/>
      <c r="AO78" s="381"/>
      <c r="AP78" s="383"/>
      <c r="AQ78" s="383"/>
      <c r="AR78" s="383"/>
      <c r="AS78" s="385"/>
      <c r="AT78" s="385"/>
      <c r="AU78" s="397"/>
    </row>
    <row r="79" spans="1:57">
      <c r="A79" s="278" t="s">
        <v>141</v>
      </c>
      <c r="B79" s="116" t="s">
        <v>159</v>
      </c>
      <c r="C79" s="165" t="s">
        <v>243</v>
      </c>
      <c r="D79" s="124" t="s">
        <v>61</v>
      </c>
      <c r="E79" s="114"/>
      <c r="F79" s="124" t="s">
        <v>61</v>
      </c>
      <c r="G79" s="114"/>
      <c r="H79" s="165" t="s">
        <v>61</v>
      </c>
      <c r="I79" s="165" t="s">
        <v>61</v>
      </c>
      <c r="J79" s="124" t="s">
        <v>61</v>
      </c>
      <c r="K79" s="87"/>
      <c r="L79" s="87"/>
      <c r="M79" s="124" t="s">
        <v>61</v>
      </c>
      <c r="N79" s="112"/>
      <c r="O79" s="112"/>
      <c r="P79" s="204" t="s">
        <v>61</v>
      </c>
      <c r="Q79" s="204" t="s">
        <v>61</v>
      </c>
      <c r="R79" s="204">
        <f t="shared" si="31"/>
        <v>0</v>
      </c>
      <c r="S79" s="124">
        <f t="shared" si="32"/>
        <v>0</v>
      </c>
      <c r="T79" s="165" t="s">
        <v>265</v>
      </c>
      <c r="U79" s="169">
        <f>U77+1</f>
        <v>45</v>
      </c>
      <c r="V79" s="124" t="s">
        <v>61</v>
      </c>
      <c r="W79" s="125" t="s">
        <v>61</v>
      </c>
      <c r="X79" s="126" t="s">
        <v>61</v>
      </c>
      <c r="Y79" s="127" t="s">
        <v>61</v>
      </c>
      <c r="Z79" s="127" t="s">
        <v>61</v>
      </c>
      <c r="AA79" s="127" t="s">
        <v>61</v>
      </c>
      <c r="AB79" s="127" t="s">
        <v>61</v>
      </c>
      <c r="AC79" s="127"/>
      <c r="AD79" s="123" t="s">
        <v>129</v>
      </c>
      <c r="AE79" s="165" t="s">
        <v>61</v>
      </c>
      <c r="AF79" s="125" t="s">
        <v>61</v>
      </c>
      <c r="AG79" s="126" t="s">
        <v>61</v>
      </c>
      <c r="AH79" s="127" t="s">
        <v>61</v>
      </c>
      <c r="AI79" s="127" t="s">
        <v>61</v>
      </c>
      <c r="AJ79" s="127" t="s">
        <v>61</v>
      </c>
      <c r="AK79" s="128" t="s">
        <v>61</v>
      </c>
      <c r="AL79" s="129" t="s">
        <v>61</v>
      </c>
      <c r="AM79" s="123" t="s">
        <v>129</v>
      </c>
      <c r="AN79" s="284">
        <f t="shared" ref="AN79" si="34">U79</f>
        <v>45</v>
      </c>
      <c r="AO79" s="329" t="s">
        <v>153</v>
      </c>
      <c r="AP79" s="173">
        <f>R79</f>
        <v>0</v>
      </c>
      <c r="AQ79" s="173">
        <f>S79</f>
        <v>0</v>
      </c>
      <c r="AR79" s="173">
        <v>0</v>
      </c>
      <c r="AS79" s="173" t="s">
        <v>158</v>
      </c>
      <c r="AT79" s="174" t="str">
        <f>AN77&amp;","&amp;AN80</f>
        <v>44,46</v>
      </c>
      <c r="AU79" s="155" t="s">
        <v>241</v>
      </c>
    </row>
    <row r="80" spans="1:57">
      <c r="A80" s="278" t="s">
        <v>141</v>
      </c>
      <c r="B80" s="116" t="s">
        <v>159</v>
      </c>
      <c r="C80" s="165" t="s">
        <v>244</v>
      </c>
      <c r="D80" s="124" t="s">
        <v>61</v>
      </c>
      <c r="E80" s="114"/>
      <c r="F80" s="124" t="s">
        <v>61</v>
      </c>
      <c r="G80" s="114"/>
      <c r="H80" s="165" t="s">
        <v>61</v>
      </c>
      <c r="I80" s="165" t="s">
        <v>61</v>
      </c>
      <c r="J80" s="124" t="s">
        <v>61</v>
      </c>
      <c r="K80" s="87"/>
      <c r="L80" s="87"/>
      <c r="M80" s="124" t="s">
        <v>61</v>
      </c>
      <c r="N80" s="112"/>
      <c r="O80" s="112"/>
      <c r="P80" s="204" t="s">
        <v>61</v>
      </c>
      <c r="Q80" s="204" t="s">
        <v>61</v>
      </c>
      <c r="R80" s="204">
        <f t="shared" si="31"/>
        <v>0</v>
      </c>
      <c r="S80" s="124">
        <f t="shared" si="32"/>
        <v>0</v>
      </c>
      <c r="T80" s="394" t="s">
        <v>266</v>
      </c>
      <c r="U80" s="394">
        <f>U79+1</f>
        <v>46</v>
      </c>
      <c r="V80" s="124" t="s">
        <v>61</v>
      </c>
      <c r="W80" s="125" t="s">
        <v>61</v>
      </c>
      <c r="X80" s="126" t="s">
        <v>61</v>
      </c>
      <c r="Y80" s="127" t="s">
        <v>61</v>
      </c>
      <c r="Z80" s="127" t="s">
        <v>61</v>
      </c>
      <c r="AA80" s="127" t="s">
        <v>61</v>
      </c>
      <c r="AB80" s="127" t="s">
        <v>61</v>
      </c>
      <c r="AC80" s="127"/>
      <c r="AD80" s="123" t="s">
        <v>129</v>
      </c>
      <c r="AE80" s="165" t="s">
        <v>61</v>
      </c>
      <c r="AF80" s="125" t="s">
        <v>61</v>
      </c>
      <c r="AG80" s="126" t="s">
        <v>61</v>
      </c>
      <c r="AH80" s="127" t="s">
        <v>61</v>
      </c>
      <c r="AI80" s="127" t="s">
        <v>61</v>
      </c>
      <c r="AJ80" s="127" t="s">
        <v>61</v>
      </c>
      <c r="AK80" s="128" t="s">
        <v>61</v>
      </c>
      <c r="AL80" s="129" t="s">
        <v>61</v>
      </c>
      <c r="AM80" s="123" t="s">
        <v>129</v>
      </c>
      <c r="AN80" s="380">
        <f>U80</f>
        <v>46</v>
      </c>
      <c r="AO80" s="388" t="s">
        <v>153</v>
      </c>
      <c r="AP80" s="382">
        <f>R80</f>
        <v>0</v>
      </c>
      <c r="AQ80" s="382">
        <f>S80</f>
        <v>0</v>
      </c>
      <c r="AR80" s="382">
        <v>0</v>
      </c>
      <c r="AS80" s="389" t="s">
        <v>158</v>
      </c>
      <c r="AT80" s="384" t="str">
        <f>AN79&amp;","&amp;AN82</f>
        <v>45,47</v>
      </c>
      <c r="AU80" s="396" t="s">
        <v>241</v>
      </c>
    </row>
    <row r="81" spans="1:47">
      <c r="A81" s="278" t="s">
        <v>141</v>
      </c>
      <c r="B81" s="116" t="s">
        <v>159</v>
      </c>
      <c r="C81" s="165" t="s">
        <v>244</v>
      </c>
      <c r="D81" s="124" t="s">
        <v>61</v>
      </c>
      <c r="E81" s="114"/>
      <c r="F81" s="124" t="s">
        <v>61</v>
      </c>
      <c r="G81" s="114"/>
      <c r="H81" s="165" t="s">
        <v>61</v>
      </c>
      <c r="I81" s="165" t="s">
        <v>61</v>
      </c>
      <c r="J81" s="124" t="s">
        <v>61</v>
      </c>
      <c r="K81" s="87"/>
      <c r="L81" s="87"/>
      <c r="M81" s="124" t="s">
        <v>61</v>
      </c>
      <c r="N81" s="112"/>
      <c r="O81" s="112"/>
      <c r="P81" s="204" t="s">
        <v>61</v>
      </c>
      <c r="Q81" s="204" t="s">
        <v>61</v>
      </c>
      <c r="R81" s="204">
        <f t="shared" si="31"/>
        <v>0</v>
      </c>
      <c r="S81" s="124">
        <f t="shared" si="32"/>
        <v>0</v>
      </c>
      <c r="T81" s="395"/>
      <c r="U81" s="395"/>
      <c r="V81" s="124" t="s">
        <v>61</v>
      </c>
      <c r="W81" s="125" t="s">
        <v>61</v>
      </c>
      <c r="X81" s="126" t="s">
        <v>61</v>
      </c>
      <c r="Y81" s="127" t="s">
        <v>61</v>
      </c>
      <c r="Z81" s="127" t="s">
        <v>61</v>
      </c>
      <c r="AA81" s="127" t="s">
        <v>61</v>
      </c>
      <c r="AB81" s="127" t="s">
        <v>61</v>
      </c>
      <c r="AC81" s="127"/>
      <c r="AD81" s="123" t="s">
        <v>129</v>
      </c>
      <c r="AE81" s="165" t="s">
        <v>61</v>
      </c>
      <c r="AF81" s="125" t="s">
        <v>61</v>
      </c>
      <c r="AG81" s="126" t="s">
        <v>61</v>
      </c>
      <c r="AH81" s="127" t="s">
        <v>61</v>
      </c>
      <c r="AI81" s="127" t="s">
        <v>61</v>
      </c>
      <c r="AJ81" s="127" t="s">
        <v>61</v>
      </c>
      <c r="AK81" s="128" t="s">
        <v>61</v>
      </c>
      <c r="AL81" s="129" t="s">
        <v>61</v>
      </c>
      <c r="AM81" s="123" t="s">
        <v>129</v>
      </c>
      <c r="AN81" s="381"/>
      <c r="AO81" s="381"/>
      <c r="AP81" s="383"/>
      <c r="AQ81" s="383"/>
      <c r="AR81" s="383"/>
      <c r="AS81" s="385"/>
      <c r="AT81" s="385"/>
      <c r="AU81" s="397"/>
    </row>
    <row r="82" spans="1:47">
      <c r="A82" s="278" t="s">
        <v>141</v>
      </c>
      <c r="B82" s="116" t="s">
        <v>159</v>
      </c>
      <c r="C82" s="165" t="s">
        <v>243</v>
      </c>
      <c r="D82" s="124" t="s">
        <v>61</v>
      </c>
      <c r="E82" s="114"/>
      <c r="F82" s="124" t="s">
        <v>61</v>
      </c>
      <c r="G82" s="114"/>
      <c r="H82" s="165" t="s">
        <v>61</v>
      </c>
      <c r="I82" s="165" t="s">
        <v>61</v>
      </c>
      <c r="J82" s="124" t="s">
        <v>61</v>
      </c>
      <c r="K82" s="87"/>
      <c r="L82" s="87"/>
      <c r="M82" s="124" t="s">
        <v>61</v>
      </c>
      <c r="N82" s="112"/>
      <c r="O82" s="112"/>
      <c r="P82" s="204" t="s">
        <v>61</v>
      </c>
      <c r="Q82" s="204" t="s">
        <v>61</v>
      </c>
      <c r="R82" s="204">
        <f t="shared" si="31"/>
        <v>0</v>
      </c>
      <c r="S82" s="124">
        <f t="shared" si="32"/>
        <v>0</v>
      </c>
      <c r="T82" s="165" t="s">
        <v>267</v>
      </c>
      <c r="U82" s="169">
        <f>U80+1</f>
        <v>47</v>
      </c>
      <c r="V82" s="124" t="s">
        <v>61</v>
      </c>
      <c r="W82" s="125" t="s">
        <v>61</v>
      </c>
      <c r="X82" s="126" t="s">
        <v>61</v>
      </c>
      <c r="Y82" s="127" t="s">
        <v>61</v>
      </c>
      <c r="Z82" s="127" t="s">
        <v>61</v>
      </c>
      <c r="AA82" s="127" t="s">
        <v>61</v>
      </c>
      <c r="AB82" s="127" t="s">
        <v>61</v>
      </c>
      <c r="AC82" s="127"/>
      <c r="AD82" s="123" t="s">
        <v>129</v>
      </c>
      <c r="AE82" s="165" t="s">
        <v>61</v>
      </c>
      <c r="AF82" s="125" t="s">
        <v>61</v>
      </c>
      <c r="AG82" s="126" t="s">
        <v>61</v>
      </c>
      <c r="AH82" s="127" t="s">
        <v>61</v>
      </c>
      <c r="AI82" s="127" t="s">
        <v>61</v>
      </c>
      <c r="AJ82" s="127" t="s">
        <v>61</v>
      </c>
      <c r="AK82" s="128" t="s">
        <v>61</v>
      </c>
      <c r="AL82" s="129" t="s">
        <v>61</v>
      </c>
      <c r="AM82" s="123" t="s">
        <v>129</v>
      </c>
      <c r="AN82" s="284">
        <f t="shared" ref="AN82" si="35">U82</f>
        <v>47</v>
      </c>
      <c r="AO82" s="329" t="s">
        <v>153</v>
      </c>
      <c r="AP82" s="173">
        <f>R82</f>
        <v>0</v>
      </c>
      <c r="AQ82" s="173">
        <f>S82</f>
        <v>0</v>
      </c>
      <c r="AR82" s="173">
        <v>0</v>
      </c>
      <c r="AS82" s="173" t="s">
        <v>158</v>
      </c>
      <c r="AT82" s="174" t="str">
        <f>AN80&amp;","&amp;AN83</f>
        <v>46,48</v>
      </c>
      <c r="AU82" s="155" t="s">
        <v>241</v>
      </c>
    </row>
    <row r="83" spans="1:47">
      <c r="A83" s="278" t="s">
        <v>141</v>
      </c>
      <c r="B83" s="116" t="s">
        <v>159</v>
      </c>
      <c r="C83" s="165" t="s">
        <v>244</v>
      </c>
      <c r="D83" s="124" t="s">
        <v>61</v>
      </c>
      <c r="E83" s="114"/>
      <c r="F83" s="124" t="s">
        <v>61</v>
      </c>
      <c r="G83" s="114"/>
      <c r="H83" s="165" t="s">
        <v>61</v>
      </c>
      <c r="I83" s="165" t="s">
        <v>61</v>
      </c>
      <c r="J83" s="124" t="s">
        <v>61</v>
      </c>
      <c r="K83" s="87"/>
      <c r="L83" s="87"/>
      <c r="M83" s="124" t="s">
        <v>61</v>
      </c>
      <c r="N83" s="112"/>
      <c r="O83" s="112"/>
      <c r="P83" s="204" t="s">
        <v>61</v>
      </c>
      <c r="Q83" s="204" t="s">
        <v>61</v>
      </c>
      <c r="R83" s="204">
        <f t="shared" si="31"/>
        <v>0</v>
      </c>
      <c r="S83" s="124">
        <f t="shared" si="32"/>
        <v>0</v>
      </c>
      <c r="T83" s="394" t="s">
        <v>268</v>
      </c>
      <c r="U83" s="394">
        <f>U82+1</f>
        <v>48</v>
      </c>
      <c r="V83" s="124" t="s">
        <v>61</v>
      </c>
      <c r="W83" s="125" t="s">
        <v>61</v>
      </c>
      <c r="X83" s="126" t="s">
        <v>61</v>
      </c>
      <c r="Y83" s="127" t="s">
        <v>61</v>
      </c>
      <c r="Z83" s="127" t="s">
        <v>61</v>
      </c>
      <c r="AA83" s="127" t="s">
        <v>61</v>
      </c>
      <c r="AB83" s="127" t="s">
        <v>61</v>
      </c>
      <c r="AC83" s="127"/>
      <c r="AD83" s="123" t="s">
        <v>129</v>
      </c>
      <c r="AE83" s="165" t="s">
        <v>61</v>
      </c>
      <c r="AF83" s="125" t="s">
        <v>61</v>
      </c>
      <c r="AG83" s="126" t="s">
        <v>61</v>
      </c>
      <c r="AH83" s="127" t="s">
        <v>61</v>
      </c>
      <c r="AI83" s="127" t="s">
        <v>61</v>
      </c>
      <c r="AJ83" s="127" t="s">
        <v>61</v>
      </c>
      <c r="AK83" s="128" t="s">
        <v>61</v>
      </c>
      <c r="AL83" s="129" t="s">
        <v>61</v>
      </c>
      <c r="AM83" s="123" t="s">
        <v>129</v>
      </c>
      <c r="AN83" s="380">
        <f>U83</f>
        <v>48</v>
      </c>
      <c r="AO83" s="388" t="s">
        <v>153</v>
      </c>
      <c r="AP83" s="382">
        <f>R83</f>
        <v>0</v>
      </c>
      <c r="AQ83" s="382">
        <f>S83</f>
        <v>0</v>
      </c>
      <c r="AR83" s="382">
        <v>0</v>
      </c>
      <c r="AS83" s="389" t="s">
        <v>158</v>
      </c>
      <c r="AT83" s="384" t="str">
        <f>AN82&amp;","&amp;AN85</f>
        <v>47,49</v>
      </c>
      <c r="AU83" s="396" t="s">
        <v>241</v>
      </c>
    </row>
    <row r="84" spans="1:47">
      <c r="A84" s="278" t="s">
        <v>141</v>
      </c>
      <c r="B84" s="116" t="s">
        <v>159</v>
      </c>
      <c r="C84" s="165" t="s">
        <v>244</v>
      </c>
      <c r="D84" s="124" t="s">
        <v>61</v>
      </c>
      <c r="E84" s="114"/>
      <c r="F84" s="124" t="s">
        <v>61</v>
      </c>
      <c r="G84" s="114"/>
      <c r="H84" s="165" t="s">
        <v>61</v>
      </c>
      <c r="I84" s="165" t="s">
        <v>61</v>
      </c>
      <c r="J84" s="124" t="s">
        <v>61</v>
      </c>
      <c r="K84" s="87"/>
      <c r="L84" s="87"/>
      <c r="M84" s="124" t="s">
        <v>61</v>
      </c>
      <c r="N84" s="112"/>
      <c r="O84" s="112"/>
      <c r="P84" s="204" t="s">
        <v>61</v>
      </c>
      <c r="Q84" s="204" t="s">
        <v>61</v>
      </c>
      <c r="R84" s="204">
        <f t="shared" si="31"/>
        <v>0</v>
      </c>
      <c r="S84" s="124">
        <f t="shared" si="32"/>
        <v>0</v>
      </c>
      <c r="T84" s="395"/>
      <c r="U84" s="395"/>
      <c r="V84" s="124" t="s">
        <v>61</v>
      </c>
      <c r="W84" s="125" t="s">
        <v>61</v>
      </c>
      <c r="X84" s="126" t="s">
        <v>61</v>
      </c>
      <c r="Y84" s="127" t="s">
        <v>61</v>
      </c>
      <c r="Z84" s="127" t="s">
        <v>61</v>
      </c>
      <c r="AA84" s="127" t="s">
        <v>61</v>
      </c>
      <c r="AB84" s="127" t="s">
        <v>61</v>
      </c>
      <c r="AC84" s="127"/>
      <c r="AD84" s="123" t="s">
        <v>129</v>
      </c>
      <c r="AE84" s="165" t="s">
        <v>61</v>
      </c>
      <c r="AF84" s="125" t="s">
        <v>61</v>
      </c>
      <c r="AG84" s="126" t="s">
        <v>61</v>
      </c>
      <c r="AH84" s="127" t="s">
        <v>61</v>
      </c>
      <c r="AI84" s="127" t="s">
        <v>61</v>
      </c>
      <c r="AJ84" s="127" t="s">
        <v>61</v>
      </c>
      <c r="AK84" s="128" t="s">
        <v>61</v>
      </c>
      <c r="AL84" s="129" t="s">
        <v>61</v>
      </c>
      <c r="AM84" s="123" t="s">
        <v>129</v>
      </c>
      <c r="AN84" s="381"/>
      <c r="AO84" s="381"/>
      <c r="AP84" s="383"/>
      <c r="AQ84" s="383"/>
      <c r="AR84" s="383"/>
      <c r="AS84" s="385"/>
      <c r="AT84" s="385"/>
      <c r="AU84" s="397"/>
    </row>
    <row r="85" spans="1:47">
      <c r="A85" s="278" t="s">
        <v>141</v>
      </c>
      <c r="B85" s="116" t="s">
        <v>159</v>
      </c>
      <c r="C85" s="165" t="s">
        <v>243</v>
      </c>
      <c r="D85" s="124" t="s">
        <v>61</v>
      </c>
      <c r="E85" s="114"/>
      <c r="F85" s="124" t="s">
        <v>61</v>
      </c>
      <c r="G85" s="114"/>
      <c r="H85" s="165" t="s">
        <v>61</v>
      </c>
      <c r="I85" s="165" t="s">
        <v>61</v>
      </c>
      <c r="J85" s="124" t="s">
        <v>61</v>
      </c>
      <c r="K85" s="87"/>
      <c r="L85" s="87"/>
      <c r="M85" s="124" t="s">
        <v>61</v>
      </c>
      <c r="N85" s="112"/>
      <c r="O85" s="112"/>
      <c r="P85" s="204" t="s">
        <v>61</v>
      </c>
      <c r="Q85" s="204" t="s">
        <v>61</v>
      </c>
      <c r="R85" s="204">
        <f t="shared" si="31"/>
        <v>0</v>
      </c>
      <c r="S85" s="124">
        <f t="shared" si="32"/>
        <v>0</v>
      </c>
      <c r="T85" s="165" t="s">
        <v>269</v>
      </c>
      <c r="U85" s="169">
        <f>U83+1</f>
        <v>49</v>
      </c>
      <c r="V85" s="124" t="s">
        <v>61</v>
      </c>
      <c r="W85" s="125" t="s">
        <v>61</v>
      </c>
      <c r="X85" s="126" t="s">
        <v>61</v>
      </c>
      <c r="Y85" s="127" t="s">
        <v>61</v>
      </c>
      <c r="Z85" s="127" t="s">
        <v>61</v>
      </c>
      <c r="AA85" s="127" t="s">
        <v>61</v>
      </c>
      <c r="AB85" s="127" t="s">
        <v>61</v>
      </c>
      <c r="AC85" s="127"/>
      <c r="AD85" s="123" t="s">
        <v>129</v>
      </c>
      <c r="AE85" s="165" t="s">
        <v>61</v>
      </c>
      <c r="AF85" s="125" t="s">
        <v>61</v>
      </c>
      <c r="AG85" s="126" t="s">
        <v>61</v>
      </c>
      <c r="AH85" s="127" t="s">
        <v>61</v>
      </c>
      <c r="AI85" s="127" t="s">
        <v>61</v>
      </c>
      <c r="AJ85" s="127" t="s">
        <v>61</v>
      </c>
      <c r="AK85" s="128" t="s">
        <v>61</v>
      </c>
      <c r="AL85" s="129" t="s">
        <v>61</v>
      </c>
      <c r="AM85" s="123" t="s">
        <v>129</v>
      </c>
      <c r="AN85" s="284">
        <f t="shared" ref="AN85" si="36">U85</f>
        <v>49</v>
      </c>
      <c r="AO85" s="329" t="s">
        <v>153</v>
      </c>
      <c r="AP85" s="173">
        <f>R85</f>
        <v>0</v>
      </c>
      <c r="AQ85" s="173">
        <f>S85</f>
        <v>0</v>
      </c>
      <c r="AR85" s="173">
        <v>0</v>
      </c>
      <c r="AS85" s="173" t="s">
        <v>158</v>
      </c>
      <c r="AT85" s="174" t="str">
        <f>AN83&amp;","&amp;AN86</f>
        <v>48,50</v>
      </c>
      <c r="AU85" s="155" t="s">
        <v>241</v>
      </c>
    </row>
    <row r="86" spans="1:47">
      <c r="A86" s="278" t="s">
        <v>141</v>
      </c>
      <c r="B86" s="116" t="s">
        <v>159</v>
      </c>
      <c r="C86" s="165" t="s">
        <v>244</v>
      </c>
      <c r="D86" s="124" t="s">
        <v>61</v>
      </c>
      <c r="E86" s="114"/>
      <c r="F86" s="124" t="s">
        <v>61</v>
      </c>
      <c r="G86" s="114"/>
      <c r="H86" s="165" t="s">
        <v>61</v>
      </c>
      <c r="I86" s="165" t="s">
        <v>61</v>
      </c>
      <c r="J86" s="124" t="s">
        <v>61</v>
      </c>
      <c r="K86" s="87"/>
      <c r="L86" s="87"/>
      <c r="M86" s="124" t="s">
        <v>61</v>
      </c>
      <c r="N86" s="112"/>
      <c r="O86" s="112"/>
      <c r="P86" s="204" t="s">
        <v>61</v>
      </c>
      <c r="Q86" s="204" t="s">
        <v>61</v>
      </c>
      <c r="R86" s="204">
        <f t="shared" si="31"/>
        <v>0</v>
      </c>
      <c r="S86" s="124">
        <f t="shared" si="32"/>
        <v>0</v>
      </c>
      <c r="T86" s="394" t="s">
        <v>270</v>
      </c>
      <c r="U86" s="394">
        <f>U85+1</f>
        <v>50</v>
      </c>
      <c r="V86" s="124" t="s">
        <v>61</v>
      </c>
      <c r="W86" s="125" t="s">
        <v>61</v>
      </c>
      <c r="X86" s="126" t="s">
        <v>61</v>
      </c>
      <c r="Y86" s="127" t="s">
        <v>61</v>
      </c>
      <c r="Z86" s="127" t="s">
        <v>61</v>
      </c>
      <c r="AA86" s="127" t="s">
        <v>61</v>
      </c>
      <c r="AB86" s="127" t="s">
        <v>61</v>
      </c>
      <c r="AC86" s="127"/>
      <c r="AD86" s="123" t="s">
        <v>129</v>
      </c>
      <c r="AE86" s="165" t="s">
        <v>61</v>
      </c>
      <c r="AF86" s="125" t="s">
        <v>61</v>
      </c>
      <c r="AG86" s="126" t="s">
        <v>61</v>
      </c>
      <c r="AH86" s="127" t="s">
        <v>61</v>
      </c>
      <c r="AI86" s="127" t="s">
        <v>61</v>
      </c>
      <c r="AJ86" s="127" t="s">
        <v>61</v>
      </c>
      <c r="AK86" s="128" t="s">
        <v>61</v>
      </c>
      <c r="AL86" s="129" t="s">
        <v>61</v>
      </c>
      <c r="AM86" s="123" t="s">
        <v>129</v>
      </c>
      <c r="AN86" s="380">
        <f>U86</f>
        <v>50</v>
      </c>
      <c r="AO86" s="388" t="s">
        <v>153</v>
      </c>
      <c r="AP86" s="382">
        <f>R86</f>
        <v>0</v>
      </c>
      <c r="AQ86" s="382">
        <f>S86</f>
        <v>0</v>
      </c>
      <c r="AR86" s="382">
        <v>0</v>
      </c>
      <c r="AS86" s="389" t="s">
        <v>158</v>
      </c>
      <c r="AT86" s="384" t="str">
        <f>AN85&amp;","&amp;AN88</f>
        <v>49,51</v>
      </c>
      <c r="AU86" s="396" t="s">
        <v>241</v>
      </c>
    </row>
    <row r="87" spans="1:47">
      <c r="A87" s="278" t="s">
        <v>141</v>
      </c>
      <c r="B87" s="116" t="s">
        <v>159</v>
      </c>
      <c r="C87" s="165" t="s">
        <v>244</v>
      </c>
      <c r="D87" s="124" t="s">
        <v>61</v>
      </c>
      <c r="E87" s="114"/>
      <c r="F87" s="124" t="s">
        <v>61</v>
      </c>
      <c r="G87" s="114"/>
      <c r="H87" s="165" t="s">
        <v>61</v>
      </c>
      <c r="I87" s="165" t="s">
        <v>61</v>
      </c>
      <c r="J87" s="124" t="s">
        <v>61</v>
      </c>
      <c r="K87" s="87"/>
      <c r="L87" s="87"/>
      <c r="M87" s="124" t="s">
        <v>61</v>
      </c>
      <c r="N87" s="112"/>
      <c r="O87" s="112"/>
      <c r="P87" s="204" t="s">
        <v>61</v>
      </c>
      <c r="Q87" s="204" t="s">
        <v>61</v>
      </c>
      <c r="R87" s="204">
        <f t="shared" si="31"/>
        <v>0</v>
      </c>
      <c r="S87" s="124">
        <f t="shared" si="32"/>
        <v>0</v>
      </c>
      <c r="T87" s="395"/>
      <c r="U87" s="395"/>
      <c r="V87" s="124" t="s">
        <v>61</v>
      </c>
      <c r="W87" s="125" t="s">
        <v>61</v>
      </c>
      <c r="X87" s="126" t="s">
        <v>61</v>
      </c>
      <c r="Y87" s="127" t="s">
        <v>61</v>
      </c>
      <c r="Z87" s="127" t="s">
        <v>61</v>
      </c>
      <c r="AA87" s="127" t="s">
        <v>61</v>
      </c>
      <c r="AB87" s="127" t="s">
        <v>61</v>
      </c>
      <c r="AC87" s="127"/>
      <c r="AD87" s="123" t="s">
        <v>129</v>
      </c>
      <c r="AE87" s="165" t="s">
        <v>61</v>
      </c>
      <c r="AF87" s="125" t="s">
        <v>61</v>
      </c>
      <c r="AG87" s="126" t="s">
        <v>61</v>
      </c>
      <c r="AH87" s="127" t="s">
        <v>61</v>
      </c>
      <c r="AI87" s="127" t="s">
        <v>61</v>
      </c>
      <c r="AJ87" s="127" t="s">
        <v>61</v>
      </c>
      <c r="AK87" s="128" t="s">
        <v>61</v>
      </c>
      <c r="AL87" s="129" t="s">
        <v>61</v>
      </c>
      <c r="AM87" s="123" t="s">
        <v>129</v>
      </c>
      <c r="AN87" s="381"/>
      <c r="AO87" s="381"/>
      <c r="AP87" s="383"/>
      <c r="AQ87" s="383"/>
      <c r="AR87" s="383"/>
      <c r="AS87" s="385"/>
      <c r="AT87" s="385"/>
      <c r="AU87" s="397"/>
    </row>
    <row r="88" spans="1:47">
      <c r="A88" s="278" t="s">
        <v>141</v>
      </c>
      <c r="B88" s="116" t="s">
        <v>159</v>
      </c>
      <c r="C88" s="165" t="s">
        <v>243</v>
      </c>
      <c r="D88" s="124" t="s">
        <v>61</v>
      </c>
      <c r="E88" s="114"/>
      <c r="F88" s="124" t="s">
        <v>61</v>
      </c>
      <c r="G88" s="114"/>
      <c r="H88" s="165" t="s">
        <v>61</v>
      </c>
      <c r="I88" s="165" t="s">
        <v>61</v>
      </c>
      <c r="J88" s="124" t="s">
        <v>61</v>
      </c>
      <c r="K88" s="87"/>
      <c r="L88" s="87"/>
      <c r="M88" s="124" t="s">
        <v>61</v>
      </c>
      <c r="N88" s="112"/>
      <c r="O88" s="112"/>
      <c r="P88" s="204" t="s">
        <v>61</v>
      </c>
      <c r="Q88" s="204" t="s">
        <v>61</v>
      </c>
      <c r="R88" s="204">
        <f t="shared" si="31"/>
        <v>0</v>
      </c>
      <c r="S88" s="124">
        <f t="shared" si="32"/>
        <v>0</v>
      </c>
      <c r="T88" s="165" t="s">
        <v>271</v>
      </c>
      <c r="U88" s="169">
        <f>U86+1</f>
        <v>51</v>
      </c>
      <c r="V88" s="124" t="s">
        <v>61</v>
      </c>
      <c r="W88" s="125" t="s">
        <v>61</v>
      </c>
      <c r="X88" s="126" t="s">
        <v>61</v>
      </c>
      <c r="Y88" s="127" t="s">
        <v>61</v>
      </c>
      <c r="Z88" s="127" t="s">
        <v>61</v>
      </c>
      <c r="AA88" s="127" t="s">
        <v>61</v>
      </c>
      <c r="AB88" s="127" t="s">
        <v>61</v>
      </c>
      <c r="AC88" s="127"/>
      <c r="AD88" s="123" t="s">
        <v>129</v>
      </c>
      <c r="AE88" s="165" t="s">
        <v>61</v>
      </c>
      <c r="AF88" s="125" t="s">
        <v>61</v>
      </c>
      <c r="AG88" s="126" t="s">
        <v>61</v>
      </c>
      <c r="AH88" s="127" t="s">
        <v>61</v>
      </c>
      <c r="AI88" s="127" t="s">
        <v>61</v>
      </c>
      <c r="AJ88" s="127" t="s">
        <v>61</v>
      </c>
      <c r="AK88" s="128" t="s">
        <v>61</v>
      </c>
      <c r="AL88" s="129" t="s">
        <v>61</v>
      </c>
      <c r="AM88" s="123" t="s">
        <v>129</v>
      </c>
      <c r="AN88" s="284">
        <f t="shared" ref="AN88" si="37">U88</f>
        <v>51</v>
      </c>
      <c r="AO88" s="329" t="s">
        <v>153</v>
      </c>
      <c r="AP88" s="173">
        <f>R88</f>
        <v>0</v>
      </c>
      <c r="AQ88" s="173">
        <f>S88</f>
        <v>0</v>
      </c>
      <c r="AR88" s="173">
        <v>0</v>
      </c>
      <c r="AS88" s="173" t="s">
        <v>158</v>
      </c>
      <c r="AT88" s="174" t="str">
        <f>AN86&amp;","&amp;AN89</f>
        <v>50,52</v>
      </c>
      <c r="AU88" s="155" t="s">
        <v>241</v>
      </c>
    </row>
    <row r="89" spans="1:47">
      <c r="A89" s="278" t="s">
        <v>141</v>
      </c>
      <c r="B89" s="116" t="s">
        <v>159</v>
      </c>
      <c r="C89" s="165" t="s">
        <v>244</v>
      </c>
      <c r="D89" s="124" t="s">
        <v>61</v>
      </c>
      <c r="E89" s="114"/>
      <c r="F89" s="124" t="s">
        <v>61</v>
      </c>
      <c r="G89" s="114"/>
      <c r="H89" s="165" t="s">
        <v>61</v>
      </c>
      <c r="I89" s="165" t="s">
        <v>61</v>
      </c>
      <c r="J89" s="124" t="s">
        <v>61</v>
      </c>
      <c r="K89" s="87"/>
      <c r="L89" s="87"/>
      <c r="M89" s="124" t="s">
        <v>61</v>
      </c>
      <c r="N89" s="112"/>
      <c r="O89" s="112"/>
      <c r="P89" s="204" t="s">
        <v>61</v>
      </c>
      <c r="Q89" s="204" t="s">
        <v>61</v>
      </c>
      <c r="R89" s="204">
        <f t="shared" si="31"/>
        <v>0</v>
      </c>
      <c r="S89" s="124">
        <f t="shared" si="32"/>
        <v>0</v>
      </c>
      <c r="T89" s="394" t="s">
        <v>272</v>
      </c>
      <c r="U89" s="394">
        <f>U88+1</f>
        <v>52</v>
      </c>
      <c r="V89" s="124" t="s">
        <v>61</v>
      </c>
      <c r="W89" s="125" t="s">
        <v>61</v>
      </c>
      <c r="X89" s="126" t="s">
        <v>61</v>
      </c>
      <c r="Y89" s="127" t="s">
        <v>61</v>
      </c>
      <c r="Z89" s="127" t="s">
        <v>61</v>
      </c>
      <c r="AA89" s="127" t="s">
        <v>61</v>
      </c>
      <c r="AB89" s="127" t="s">
        <v>61</v>
      </c>
      <c r="AC89" s="127"/>
      <c r="AD89" s="123" t="s">
        <v>129</v>
      </c>
      <c r="AE89" s="165" t="s">
        <v>61</v>
      </c>
      <c r="AF89" s="125" t="s">
        <v>61</v>
      </c>
      <c r="AG89" s="126" t="s">
        <v>61</v>
      </c>
      <c r="AH89" s="127" t="s">
        <v>61</v>
      </c>
      <c r="AI89" s="127" t="s">
        <v>61</v>
      </c>
      <c r="AJ89" s="127" t="s">
        <v>61</v>
      </c>
      <c r="AK89" s="128" t="s">
        <v>61</v>
      </c>
      <c r="AL89" s="129" t="s">
        <v>61</v>
      </c>
      <c r="AM89" s="123" t="s">
        <v>129</v>
      </c>
      <c r="AN89" s="380">
        <f>U89</f>
        <v>52</v>
      </c>
      <c r="AO89" s="388" t="s">
        <v>153</v>
      </c>
      <c r="AP89" s="382">
        <f>R89</f>
        <v>0</v>
      </c>
      <c r="AQ89" s="382">
        <f>S89</f>
        <v>0</v>
      </c>
      <c r="AR89" s="382">
        <v>0</v>
      </c>
      <c r="AS89" s="389" t="s">
        <v>158</v>
      </c>
      <c r="AT89" s="384" t="str">
        <f>AN88&amp;","&amp;AN91</f>
        <v>51,53</v>
      </c>
      <c r="AU89" s="396" t="s">
        <v>241</v>
      </c>
    </row>
    <row r="90" spans="1:47" ht="15" thickBot="1">
      <c r="A90" s="278" t="s">
        <v>141</v>
      </c>
      <c r="B90" s="116" t="s">
        <v>159</v>
      </c>
      <c r="C90" s="165" t="s">
        <v>244</v>
      </c>
      <c r="D90" s="124" t="s">
        <v>61</v>
      </c>
      <c r="E90" s="114"/>
      <c r="F90" s="124" t="s">
        <v>61</v>
      </c>
      <c r="G90" s="114"/>
      <c r="H90" s="165" t="s">
        <v>61</v>
      </c>
      <c r="I90" s="165" t="s">
        <v>61</v>
      </c>
      <c r="J90" s="124" t="s">
        <v>61</v>
      </c>
      <c r="K90" s="87"/>
      <c r="L90" s="87"/>
      <c r="M90" s="124" t="s">
        <v>61</v>
      </c>
      <c r="N90" s="112"/>
      <c r="O90" s="112"/>
      <c r="P90" s="204" t="s">
        <v>61</v>
      </c>
      <c r="Q90" s="204" t="s">
        <v>61</v>
      </c>
      <c r="R90" s="204">
        <f t="shared" si="31"/>
        <v>0</v>
      </c>
      <c r="S90" s="124">
        <f t="shared" si="32"/>
        <v>0</v>
      </c>
      <c r="T90" s="395"/>
      <c r="U90" s="395"/>
      <c r="V90" s="124" t="s">
        <v>61</v>
      </c>
      <c r="W90" s="125" t="s">
        <v>61</v>
      </c>
      <c r="X90" s="126" t="s">
        <v>61</v>
      </c>
      <c r="Y90" s="127" t="s">
        <v>61</v>
      </c>
      <c r="Z90" s="127" t="s">
        <v>61</v>
      </c>
      <c r="AA90" s="127" t="s">
        <v>61</v>
      </c>
      <c r="AB90" s="127" t="s">
        <v>61</v>
      </c>
      <c r="AC90" s="127"/>
      <c r="AD90" s="123" t="s">
        <v>129</v>
      </c>
      <c r="AE90" s="165" t="s">
        <v>61</v>
      </c>
      <c r="AF90" s="125" t="s">
        <v>61</v>
      </c>
      <c r="AG90" s="126" t="s">
        <v>61</v>
      </c>
      <c r="AH90" s="127" t="s">
        <v>61</v>
      </c>
      <c r="AI90" s="127" t="s">
        <v>61</v>
      </c>
      <c r="AJ90" s="127" t="s">
        <v>61</v>
      </c>
      <c r="AK90" s="128" t="s">
        <v>61</v>
      </c>
      <c r="AL90" s="129" t="s">
        <v>61</v>
      </c>
      <c r="AM90" s="123" t="s">
        <v>129</v>
      </c>
      <c r="AN90" s="381"/>
      <c r="AO90" s="381"/>
      <c r="AP90" s="383"/>
      <c r="AQ90" s="383"/>
      <c r="AR90" s="383"/>
      <c r="AS90" s="385"/>
      <c r="AT90" s="385"/>
      <c r="AU90" s="397"/>
    </row>
    <row r="91" spans="1:47">
      <c r="A91" s="278" t="s">
        <v>174</v>
      </c>
      <c r="B91" s="116" t="s">
        <v>159</v>
      </c>
      <c r="C91" s="165" t="s">
        <v>243</v>
      </c>
      <c r="D91" s="124" t="s">
        <v>61</v>
      </c>
      <c r="E91" s="114"/>
      <c r="F91" s="124" t="s">
        <v>61</v>
      </c>
      <c r="G91" s="114"/>
      <c r="H91" s="165" t="s">
        <v>61</v>
      </c>
      <c r="I91" s="165" t="s">
        <v>61</v>
      </c>
      <c r="J91" s="124" t="s">
        <v>61</v>
      </c>
      <c r="K91" s="87"/>
      <c r="L91" s="87"/>
      <c r="M91" s="124" t="s">
        <v>61</v>
      </c>
      <c r="N91" s="112"/>
      <c r="O91" s="112"/>
      <c r="P91" s="204" t="s">
        <v>61</v>
      </c>
      <c r="Q91" s="204" t="s">
        <v>61</v>
      </c>
      <c r="R91" s="204">
        <f t="shared" si="29"/>
        <v>0</v>
      </c>
      <c r="S91" s="124">
        <f t="shared" si="30"/>
        <v>0</v>
      </c>
      <c r="T91" s="165" t="s">
        <v>349</v>
      </c>
      <c r="U91" s="169">
        <f>U89+1</f>
        <v>53</v>
      </c>
      <c r="V91" s="124" t="s">
        <v>61</v>
      </c>
      <c r="W91" s="125" t="s">
        <v>61</v>
      </c>
      <c r="X91" s="126" t="s">
        <v>61</v>
      </c>
      <c r="Y91" s="127" t="s">
        <v>61</v>
      </c>
      <c r="Z91" s="127" t="s">
        <v>61</v>
      </c>
      <c r="AA91" s="127" t="s">
        <v>61</v>
      </c>
      <c r="AB91" s="127" t="s">
        <v>61</v>
      </c>
      <c r="AC91" s="127"/>
      <c r="AD91" s="123" t="s">
        <v>129</v>
      </c>
      <c r="AE91" s="165" t="s">
        <v>61</v>
      </c>
      <c r="AF91" s="125" t="s">
        <v>61</v>
      </c>
      <c r="AG91" s="126" t="s">
        <v>61</v>
      </c>
      <c r="AH91" s="127" t="s">
        <v>61</v>
      </c>
      <c r="AI91" s="127" t="s">
        <v>61</v>
      </c>
      <c r="AJ91" s="127" t="s">
        <v>61</v>
      </c>
      <c r="AK91" s="128" t="s">
        <v>61</v>
      </c>
      <c r="AL91" s="129" t="s">
        <v>61</v>
      </c>
      <c r="AM91" s="123" t="s">
        <v>129</v>
      </c>
      <c r="AN91" s="172">
        <f t="shared" si="22"/>
        <v>53</v>
      </c>
      <c r="AO91" s="329" t="s">
        <v>153</v>
      </c>
      <c r="AP91" s="173">
        <f>R91</f>
        <v>0</v>
      </c>
      <c r="AQ91" s="173">
        <f>S91</f>
        <v>0</v>
      </c>
      <c r="AR91" s="173">
        <v>0</v>
      </c>
      <c r="AS91" s="173" t="s">
        <v>158</v>
      </c>
      <c r="AT91" s="174" t="str">
        <f>AN89&amp;","&amp;AN92</f>
        <v>52,54</v>
      </c>
      <c r="AU91" s="155" t="s">
        <v>241</v>
      </c>
    </row>
    <row r="92" spans="1:47">
      <c r="A92" s="278" t="s">
        <v>174</v>
      </c>
      <c r="B92" s="116" t="s">
        <v>159</v>
      </c>
      <c r="C92" s="165" t="s">
        <v>244</v>
      </c>
      <c r="D92" s="124" t="s">
        <v>61</v>
      </c>
      <c r="E92" s="114"/>
      <c r="F92" s="124" t="s">
        <v>61</v>
      </c>
      <c r="G92" s="114"/>
      <c r="H92" s="165" t="s">
        <v>61</v>
      </c>
      <c r="I92" s="165" t="s">
        <v>61</v>
      </c>
      <c r="J92" s="124" t="s">
        <v>61</v>
      </c>
      <c r="K92" s="87"/>
      <c r="L92" s="87"/>
      <c r="M92" s="124" t="s">
        <v>61</v>
      </c>
      <c r="N92" s="112"/>
      <c r="O92" s="112"/>
      <c r="P92" s="204" t="s">
        <v>61</v>
      </c>
      <c r="Q92" s="204" t="s">
        <v>61</v>
      </c>
      <c r="R92" s="204">
        <f t="shared" si="29"/>
        <v>0</v>
      </c>
      <c r="S92" s="124">
        <f t="shared" si="30"/>
        <v>0</v>
      </c>
      <c r="T92" s="394" t="s">
        <v>350</v>
      </c>
      <c r="U92" s="394">
        <f>U91+1</f>
        <v>54</v>
      </c>
      <c r="V92" s="124" t="s">
        <v>61</v>
      </c>
      <c r="W92" s="125" t="s">
        <v>61</v>
      </c>
      <c r="X92" s="126" t="s">
        <v>61</v>
      </c>
      <c r="Y92" s="127" t="s">
        <v>61</v>
      </c>
      <c r="Z92" s="127" t="s">
        <v>61</v>
      </c>
      <c r="AA92" s="127" t="s">
        <v>61</v>
      </c>
      <c r="AB92" s="127" t="s">
        <v>61</v>
      </c>
      <c r="AC92" s="127"/>
      <c r="AD92" s="123" t="s">
        <v>129</v>
      </c>
      <c r="AE92" s="165" t="s">
        <v>61</v>
      </c>
      <c r="AF92" s="125" t="s">
        <v>61</v>
      </c>
      <c r="AG92" s="126" t="s">
        <v>61</v>
      </c>
      <c r="AH92" s="127" t="s">
        <v>61</v>
      </c>
      <c r="AI92" s="127" t="s">
        <v>61</v>
      </c>
      <c r="AJ92" s="127" t="s">
        <v>61</v>
      </c>
      <c r="AK92" s="128" t="s">
        <v>61</v>
      </c>
      <c r="AL92" s="129" t="s">
        <v>61</v>
      </c>
      <c r="AM92" s="123" t="s">
        <v>129</v>
      </c>
      <c r="AN92" s="380">
        <f>U92</f>
        <v>54</v>
      </c>
      <c r="AO92" s="380" t="s">
        <v>153</v>
      </c>
      <c r="AP92" s="382">
        <f>R92</f>
        <v>0</v>
      </c>
      <c r="AQ92" s="382">
        <f>S92</f>
        <v>0</v>
      </c>
      <c r="AR92" s="382">
        <v>0</v>
      </c>
      <c r="AS92" s="384" t="s">
        <v>162</v>
      </c>
      <c r="AT92" s="384" t="str">
        <f>AN91&amp;","&amp;AN94</f>
        <v>53,55</v>
      </c>
      <c r="AU92" s="396" t="s">
        <v>241</v>
      </c>
    </row>
    <row r="93" spans="1:47">
      <c r="A93" s="278" t="s">
        <v>174</v>
      </c>
      <c r="B93" s="116" t="s">
        <v>159</v>
      </c>
      <c r="C93" s="165" t="s">
        <v>244</v>
      </c>
      <c r="D93" s="124" t="s">
        <v>61</v>
      </c>
      <c r="E93" s="114"/>
      <c r="F93" s="124" t="s">
        <v>61</v>
      </c>
      <c r="G93" s="114"/>
      <c r="H93" s="165" t="s">
        <v>61</v>
      </c>
      <c r="I93" s="165" t="s">
        <v>61</v>
      </c>
      <c r="J93" s="124" t="s">
        <v>61</v>
      </c>
      <c r="K93" s="87"/>
      <c r="L93" s="87"/>
      <c r="M93" s="124" t="s">
        <v>61</v>
      </c>
      <c r="N93" s="112"/>
      <c r="O93" s="112"/>
      <c r="P93" s="204" t="s">
        <v>61</v>
      </c>
      <c r="Q93" s="204" t="s">
        <v>61</v>
      </c>
      <c r="R93" s="204">
        <f t="shared" si="29"/>
        <v>0</v>
      </c>
      <c r="S93" s="124">
        <f t="shared" si="30"/>
        <v>0</v>
      </c>
      <c r="T93" s="395"/>
      <c r="U93" s="395"/>
      <c r="V93" s="124" t="s">
        <v>61</v>
      </c>
      <c r="W93" s="125" t="s">
        <v>61</v>
      </c>
      <c r="X93" s="126" t="s">
        <v>61</v>
      </c>
      <c r="Y93" s="127" t="s">
        <v>61</v>
      </c>
      <c r="Z93" s="127" t="s">
        <v>61</v>
      </c>
      <c r="AA93" s="127" t="s">
        <v>61</v>
      </c>
      <c r="AB93" s="127" t="s">
        <v>61</v>
      </c>
      <c r="AC93" s="127"/>
      <c r="AD93" s="123" t="s">
        <v>129</v>
      </c>
      <c r="AE93" s="165" t="s">
        <v>61</v>
      </c>
      <c r="AF93" s="125" t="s">
        <v>61</v>
      </c>
      <c r="AG93" s="126" t="s">
        <v>61</v>
      </c>
      <c r="AH93" s="127" t="s">
        <v>61</v>
      </c>
      <c r="AI93" s="127" t="s">
        <v>61</v>
      </c>
      <c r="AJ93" s="127" t="s">
        <v>61</v>
      </c>
      <c r="AK93" s="128" t="s">
        <v>61</v>
      </c>
      <c r="AL93" s="129" t="s">
        <v>61</v>
      </c>
      <c r="AM93" s="123" t="s">
        <v>129</v>
      </c>
      <c r="AN93" s="381"/>
      <c r="AO93" s="381"/>
      <c r="AP93" s="383"/>
      <c r="AQ93" s="383"/>
      <c r="AR93" s="383"/>
      <c r="AS93" s="385"/>
      <c r="AT93" s="385"/>
      <c r="AU93" s="397"/>
    </row>
    <row r="94" spans="1:47">
      <c r="A94" s="278" t="s">
        <v>174</v>
      </c>
      <c r="B94" s="116" t="s">
        <v>159</v>
      </c>
      <c r="C94" s="165" t="s">
        <v>243</v>
      </c>
      <c r="D94" s="124" t="s">
        <v>61</v>
      </c>
      <c r="E94" s="114"/>
      <c r="F94" s="124" t="s">
        <v>61</v>
      </c>
      <c r="G94" s="114"/>
      <c r="H94" s="165" t="s">
        <v>61</v>
      </c>
      <c r="I94" s="165" t="s">
        <v>61</v>
      </c>
      <c r="J94" s="124" t="s">
        <v>61</v>
      </c>
      <c r="K94" s="87"/>
      <c r="L94" s="87"/>
      <c r="M94" s="124" t="s">
        <v>61</v>
      </c>
      <c r="N94" s="112"/>
      <c r="O94" s="112"/>
      <c r="P94" s="204" t="s">
        <v>61</v>
      </c>
      <c r="Q94" s="204" t="s">
        <v>61</v>
      </c>
      <c r="R94" s="204">
        <f t="shared" si="29"/>
        <v>0</v>
      </c>
      <c r="S94" s="124">
        <f t="shared" si="30"/>
        <v>0</v>
      </c>
      <c r="T94" s="165" t="s">
        <v>357</v>
      </c>
      <c r="U94" s="169">
        <f>U92+1</f>
        <v>55</v>
      </c>
      <c r="V94" s="124" t="s">
        <v>61</v>
      </c>
      <c r="W94" s="125" t="s">
        <v>61</v>
      </c>
      <c r="X94" s="126" t="s">
        <v>61</v>
      </c>
      <c r="Y94" s="127" t="s">
        <v>61</v>
      </c>
      <c r="Z94" s="127" t="s">
        <v>61</v>
      </c>
      <c r="AA94" s="127" t="s">
        <v>61</v>
      </c>
      <c r="AB94" s="127" t="s">
        <v>61</v>
      </c>
      <c r="AC94" s="127"/>
      <c r="AD94" s="123" t="s">
        <v>129</v>
      </c>
      <c r="AE94" s="165" t="s">
        <v>61</v>
      </c>
      <c r="AF94" s="125" t="s">
        <v>61</v>
      </c>
      <c r="AG94" s="126" t="s">
        <v>61</v>
      </c>
      <c r="AH94" s="127" t="s">
        <v>61</v>
      </c>
      <c r="AI94" s="127" t="s">
        <v>61</v>
      </c>
      <c r="AJ94" s="127" t="s">
        <v>61</v>
      </c>
      <c r="AK94" s="128" t="s">
        <v>61</v>
      </c>
      <c r="AL94" s="129" t="s">
        <v>61</v>
      </c>
      <c r="AM94" s="123" t="s">
        <v>129</v>
      </c>
      <c r="AN94" s="172">
        <f t="shared" si="22"/>
        <v>55</v>
      </c>
      <c r="AO94" s="329" t="s">
        <v>153</v>
      </c>
      <c r="AP94" s="173">
        <f>R94</f>
        <v>0</v>
      </c>
      <c r="AQ94" s="173">
        <f>S94</f>
        <v>0</v>
      </c>
      <c r="AR94" s="173">
        <v>0</v>
      </c>
      <c r="AS94" s="173" t="s">
        <v>158</v>
      </c>
      <c r="AT94" s="174" t="str">
        <f>AN92&amp;","&amp;AN95</f>
        <v>54,56</v>
      </c>
      <c r="AU94" s="155" t="s">
        <v>241</v>
      </c>
    </row>
    <row r="95" spans="1:47">
      <c r="A95" s="278" t="s">
        <v>174</v>
      </c>
      <c r="B95" s="116" t="s">
        <v>159</v>
      </c>
      <c r="C95" s="165" t="s">
        <v>244</v>
      </c>
      <c r="D95" s="124" t="s">
        <v>61</v>
      </c>
      <c r="E95" s="114"/>
      <c r="F95" s="124" t="s">
        <v>61</v>
      </c>
      <c r="G95" s="114"/>
      <c r="H95" s="165" t="s">
        <v>61</v>
      </c>
      <c r="I95" s="165" t="s">
        <v>61</v>
      </c>
      <c r="J95" s="124" t="s">
        <v>61</v>
      </c>
      <c r="K95" s="87"/>
      <c r="L95" s="87"/>
      <c r="M95" s="124" t="s">
        <v>61</v>
      </c>
      <c r="N95" s="112"/>
      <c r="O95" s="112"/>
      <c r="P95" s="204" t="s">
        <v>61</v>
      </c>
      <c r="Q95" s="204" t="s">
        <v>61</v>
      </c>
      <c r="R95" s="204">
        <f t="shared" si="29"/>
        <v>0</v>
      </c>
      <c r="S95" s="124">
        <f t="shared" si="30"/>
        <v>0</v>
      </c>
      <c r="T95" s="394" t="s">
        <v>351</v>
      </c>
      <c r="U95" s="394">
        <f>U94+1</f>
        <v>56</v>
      </c>
      <c r="V95" s="124" t="s">
        <v>61</v>
      </c>
      <c r="W95" s="125" t="s">
        <v>61</v>
      </c>
      <c r="X95" s="126" t="s">
        <v>61</v>
      </c>
      <c r="Y95" s="127" t="s">
        <v>61</v>
      </c>
      <c r="Z95" s="127" t="s">
        <v>61</v>
      </c>
      <c r="AA95" s="127" t="s">
        <v>61</v>
      </c>
      <c r="AB95" s="127" t="s">
        <v>61</v>
      </c>
      <c r="AC95" s="127"/>
      <c r="AD95" s="123" t="s">
        <v>129</v>
      </c>
      <c r="AE95" s="165" t="s">
        <v>61</v>
      </c>
      <c r="AF95" s="125" t="s">
        <v>61</v>
      </c>
      <c r="AG95" s="126" t="s">
        <v>61</v>
      </c>
      <c r="AH95" s="127" t="s">
        <v>61</v>
      </c>
      <c r="AI95" s="127" t="s">
        <v>61</v>
      </c>
      <c r="AJ95" s="127" t="s">
        <v>61</v>
      </c>
      <c r="AK95" s="128" t="s">
        <v>61</v>
      </c>
      <c r="AL95" s="129" t="s">
        <v>61</v>
      </c>
      <c r="AM95" s="123" t="s">
        <v>129</v>
      </c>
      <c r="AN95" s="380">
        <f>U95</f>
        <v>56</v>
      </c>
      <c r="AO95" s="380" t="s">
        <v>153</v>
      </c>
      <c r="AP95" s="382">
        <f>R95</f>
        <v>0</v>
      </c>
      <c r="AQ95" s="382">
        <f>S95</f>
        <v>0</v>
      </c>
      <c r="AR95" s="382">
        <v>0</v>
      </c>
      <c r="AS95" s="384" t="s">
        <v>162</v>
      </c>
      <c r="AT95" s="384" t="str">
        <f>AN94&amp;","&amp;AN97</f>
        <v>55,57</v>
      </c>
      <c r="AU95" s="396" t="s">
        <v>241</v>
      </c>
    </row>
    <row r="96" spans="1:47">
      <c r="A96" s="278" t="s">
        <v>174</v>
      </c>
      <c r="B96" s="116" t="s">
        <v>159</v>
      </c>
      <c r="C96" s="165" t="s">
        <v>244</v>
      </c>
      <c r="D96" s="124" t="s">
        <v>61</v>
      </c>
      <c r="E96" s="114"/>
      <c r="F96" s="124" t="s">
        <v>61</v>
      </c>
      <c r="G96" s="114"/>
      <c r="H96" s="165" t="s">
        <v>61</v>
      </c>
      <c r="I96" s="165" t="s">
        <v>61</v>
      </c>
      <c r="J96" s="124" t="s">
        <v>61</v>
      </c>
      <c r="K96" s="87"/>
      <c r="L96" s="87"/>
      <c r="M96" s="124" t="s">
        <v>61</v>
      </c>
      <c r="N96" s="112"/>
      <c r="O96" s="112"/>
      <c r="P96" s="204" t="s">
        <v>61</v>
      </c>
      <c r="Q96" s="204" t="s">
        <v>61</v>
      </c>
      <c r="R96" s="204">
        <f t="shared" si="29"/>
        <v>0</v>
      </c>
      <c r="S96" s="124">
        <f t="shared" si="30"/>
        <v>0</v>
      </c>
      <c r="T96" s="395"/>
      <c r="U96" s="395"/>
      <c r="V96" s="124" t="s">
        <v>61</v>
      </c>
      <c r="W96" s="125" t="s">
        <v>61</v>
      </c>
      <c r="X96" s="126" t="s">
        <v>61</v>
      </c>
      <c r="Y96" s="127" t="s">
        <v>61</v>
      </c>
      <c r="Z96" s="127" t="s">
        <v>61</v>
      </c>
      <c r="AA96" s="127" t="s">
        <v>61</v>
      </c>
      <c r="AB96" s="127" t="s">
        <v>61</v>
      </c>
      <c r="AC96" s="127"/>
      <c r="AD96" s="123" t="s">
        <v>129</v>
      </c>
      <c r="AE96" s="165" t="s">
        <v>61</v>
      </c>
      <c r="AF96" s="125" t="s">
        <v>61</v>
      </c>
      <c r="AG96" s="126" t="s">
        <v>61</v>
      </c>
      <c r="AH96" s="127" t="s">
        <v>61</v>
      </c>
      <c r="AI96" s="127" t="s">
        <v>61</v>
      </c>
      <c r="AJ96" s="127" t="s">
        <v>61</v>
      </c>
      <c r="AK96" s="128" t="s">
        <v>61</v>
      </c>
      <c r="AL96" s="129" t="s">
        <v>61</v>
      </c>
      <c r="AM96" s="123" t="s">
        <v>129</v>
      </c>
      <c r="AN96" s="381"/>
      <c r="AO96" s="381"/>
      <c r="AP96" s="383"/>
      <c r="AQ96" s="383"/>
      <c r="AR96" s="383"/>
      <c r="AS96" s="385"/>
      <c r="AT96" s="385"/>
      <c r="AU96" s="397"/>
    </row>
    <row r="97" spans="1:47">
      <c r="A97" s="278" t="s">
        <v>174</v>
      </c>
      <c r="B97" s="116" t="s">
        <v>159</v>
      </c>
      <c r="C97" s="165" t="s">
        <v>243</v>
      </c>
      <c r="D97" s="124" t="s">
        <v>61</v>
      </c>
      <c r="E97" s="114"/>
      <c r="F97" s="124" t="s">
        <v>61</v>
      </c>
      <c r="G97" s="114"/>
      <c r="H97" s="165" t="s">
        <v>61</v>
      </c>
      <c r="I97" s="165" t="s">
        <v>61</v>
      </c>
      <c r="J97" s="124" t="s">
        <v>61</v>
      </c>
      <c r="K97" s="87"/>
      <c r="L97" s="87"/>
      <c r="M97" s="124" t="s">
        <v>61</v>
      </c>
      <c r="N97" s="112"/>
      <c r="O97" s="112"/>
      <c r="P97" s="204" t="s">
        <v>61</v>
      </c>
      <c r="Q97" s="204" t="s">
        <v>61</v>
      </c>
      <c r="R97" s="204">
        <f t="shared" si="29"/>
        <v>0</v>
      </c>
      <c r="S97" s="124">
        <f t="shared" si="30"/>
        <v>0</v>
      </c>
      <c r="T97" s="165" t="s">
        <v>352</v>
      </c>
      <c r="U97" s="169">
        <f>U95+1</f>
        <v>57</v>
      </c>
      <c r="V97" s="124" t="s">
        <v>61</v>
      </c>
      <c r="W97" s="125" t="s">
        <v>61</v>
      </c>
      <c r="X97" s="126" t="s">
        <v>61</v>
      </c>
      <c r="Y97" s="127" t="s">
        <v>61</v>
      </c>
      <c r="Z97" s="127" t="s">
        <v>61</v>
      </c>
      <c r="AA97" s="127" t="s">
        <v>61</v>
      </c>
      <c r="AB97" s="127" t="s">
        <v>61</v>
      </c>
      <c r="AC97" s="127"/>
      <c r="AD97" s="123" t="s">
        <v>129</v>
      </c>
      <c r="AE97" s="165" t="s">
        <v>61</v>
      </c>
      <c r="AF97" s="125" t="s">
        <v>61</v>
      </c>
      <c r="AG97" s="126" t="s">
        <v>61</v>
      </c>
      <c r="AH97" s="127" t="s">
        <v>61</v>
      </c>
      <c r="AI97" s="127" t="s">
        <v>61</v>
      </c>
      <c r="AJ97" s="127" t="s">
        <v>61</v>
      </c>
      <c r="AK97" s="128" t="s">
        <v>61</v>
      </c>
      <c r="AL97" s="129" t="s">
        <v>61</v>
      </c>
      <c r="AM97" s="123" t="s">
        <v>129</v>
      </c>
      <c r="AN97" s="172">
        <f t="shared" si="22"/>
        <v>57</v>
      </c>
      <c r="AO97" s="329" t="s">
        <v>153</v>
      </c>
      <c r="AP97" s="173">
        <f>R97</f>
        <v>0</v>
      </c>
      <c r="AQ97" s="173">
        <f>S97</f>
        <v>0</v>
      </c>
      <c r="AR97" s="173">
        <v>0</v>
      </c>
      <c r="AS97" s="173" t="s">
        <v>158</v>
      </c>
      <c r="AT97" s="174" t="str">
        <f>AN95&amp;","&amp;AN98</f>
        <v>56,58</v>
      </c>
      <c r="AU97" s="155" t="s">
        <v>241</v>
      </c>
    </row>
    <row r="98" spans="1:47">
      <c r="A98" s="278" t="s">
        <v>174</v>
      </c>
      <c r="B98" s="116" t="s">
        <v>159</v>
      </c>
      <c r="C98" s="165" t="s">
        <v>244</v>
      </c>
      <c r="D98" s="124" t="s">
        <v>61</v>
      </c>
      <c r="E98" s="114"/>
      <c r="F98" s="124" t="s">
        <v>61</v>
      </c>
      <c r="G98" s="114"/>
      <c r="H98" s="165" t="s">
        <v>61</v>
      </c>
      <c r="I98" s="165" t="s">
        <v>61</v>
      </c>
      <c r="J98" s="124" t="s">
        <v>61</v>
      </c>
      <c r="K98" s="87"/>
      <c r="L98" s="87"/>
      <c r="M98" s="124" t="s">
        <v>61</v>
      </c>
      <c r="N98" s="112"/>
      <c r="O98" s="112"/>
      <c r="P98" s="204" t="s">
        <v>61</v>
      </c>
      <c r="Q98" s="204" t="s">
        <v>61</v>
      </c>
      <c r="R98" s="204">
        <f t="shared" si="29"/>
        <v>0</v>
      </c>
      <c r="S98" s="124">
        <f t="shared" si="30"/>
        <v>0</v>
      </c>
      <c r="T98" s="394" t="s">
        <v>353</v>
      </c>
      <c r="U98" s="394">
        <f>U97+1</f>
        <v>58</v>
      </c>
      <c r="V98" s="124" t="s">
        <v>61</v>
      </c>
      <c r="W98" s="125" t="s">
        <v>61</v>
      </c>
      <c r="X98" s="126" t="s">
        <v>61</v>
      </c>
      <c r="Y98" s="127" t="s">
        <v>61</v>
      </c>
      <c r="Z98" s="127" t="s">
        <v>61</v>
      </c>
      <c r="AA98" s="127" t="s">
        <v>61</v>
      </c>
      <c r="AB98" s="127" t="s">
        <v>61</v>
      </c>
      <c r="AC98" s="127"/>
      <c r="AD98" s="123" t="s">
        <v>129</v>
      </c>
      <c r="AE98" s="165" t="s">
        <v>61</v>
      </c>
      <c r="AF98" s="125" t="s">
        <v>61</v>
      </c>
      <c r="AG98" s="126" t="s">
        <v>61</v>
      </c>
      <c r="AH98" s="127" t="s">
        <v>61</v>
      </c>
      <c r="AI98" s="127" t="s">
        <v>61</v>
      </c>
      <c r="AJ98" s="127" t="s">
        <v>61</v>
      </c>
      <c r="AK98" s="128" t="s">
        <v>61</v>
      </c>
      <c r="AL98" s="129" t="s">
        <v>61</v>
      </c>
      <c r="AM98" s="123" t="s">
        <v>129</v>
      </c>
      <c r="AN98" s="380">
        <f>U98</f>
        <v>58</v>
      </c>
      <c r="AO98" s="380" t="s">
        <v>153</v>
      </c>
      <c r="AP98" s="382">
        <f>R98</f>
        <v>0</v>
      </c>
      <c r="AQ98" s="382">
        <f>S98</f>
        <v>0</v>
      </c>
      <c r="AR98" s="382">
        <v>0</v>
      </c>
      <c r="AS98" s="384" t="s">
        <v>162</v>
      </c>
      <c r="AT98" s="384" t="str">
        <f>AN97&amp;","&amp;AN100</f>
        <v>57,59</v>
      </c>
      <c r="AU98" s="396" t="s">
        <v>241</v>
      </c>
    </row>
    <row r="99" spans="1:47">
      <c r="A99" s="278" t="s">
        <v>174</v>
      </c>
      <c r="B99" s="116" t="s">
        <v>159</v>
      </c>
      <c r="C99" s="165" t="s">
        <v>244</v>
      </c>
      <c r="D99" s="124" t="s">
        <v>61</v>
      </c>
      <c r="E99" s="114"/>
      <c r="F99" s="124" t="s">
        <v>61</v>
      </c>
      <c r="G99" s="114"/>
      <c r="H99" s="165" t="s">
        <v>61</v>
      </c>
      <c r="I99" s="165" t="s">
        <v>61</v>
      </c>
      <c r="J99" s="124" t="s">
        <v>61</v>
      </c>
      <c r="K99" s="87"/>
      <c r="L99" s="87"/>
      <c r="M99" s="124" t="s">
        <v>61</v>
      </c>
      <c r="N99" s="112"/>
      <c r="O99" s="112"/>
      <c r="P99" s="204" t="s">
        <v>61</v>
      </c>
      <c r="Q99" s="204" t="s">
        <v>61</v>
      </c>
      <c r="R99" s="204">
        <f t="shared" si="29"/>
        <v>0</v>
      </c>
      <c r="S99" s="124">
        <f t="shared" si="30"/>
        <v>0</v>
      </c>
      <c r="T99" s="395"/>
      <c r="U99" s="395"/>
      <c r="V99" s="124" t="s">
        <v>61</v>
      </c>
      <c r="W99" s="125" t="s">
        <v>61</v>
      </c>
      <c r="X99" s="126" t="s">
        <v>61</v>
      </c>
      <c r="Y99" s="127" t="s">
        <v>61</v>
      </c>
      <c r="Z99" s="127" t="s">
        <v>61</v>
      </c>
      <c r="AA99" s="127" t="s">
        <v>61</v>
      </c>
      <c r="AB99" s="127" t="s">
        <v>61</v>
      </c>
      <c r="AC99" s="127"/>
      <c r="AD99" s="123" t="s">
        <v>129</v>
      </c>
      <c r="AE99" s="165" t="s">
        <v>61</v>
      </c>
      <c r="AF99" s="125" t="s">
        <v>61</v>
      </c>
      <c r="AG99" s="126" t="s">
        <v>61</v>
      </c>
      <c r="AH99" s="127" t="s">
        <v>61</v>
      </c>
      <c r="AI99" s="127" t="s">
        <v>61</v>
      </c>
      <c r="AJ99" s="127" t="s">
        <v>61</v>
      </c>
      <c r="AK99" s="128" t="s">
        <v>61</v>
      </c>
      <c r="AL99" s="129" t="s">
        <v>61</v>
      </c>
      <c r="AM99" s="123" t="s">
        <v>129</v>
      </c>
      <c r="AN99" s="381"/>
      <c r="AO99" s="381"/>
      <c r="AP99" s="383"/>
      <c r="AQ99" s="383"/>
      <c r="AR99" s="383"/>
      <c r="AS99" s="385"/>
      <c r="AT99" s="385"/>
      <c r="AU99" s="397"/>
    </row>
    <row r="100" spans="1:47">
      <c r="A100" s="278" t="s">
        <v>174</v>
      </c>
      <c r="B100" s="116" t="s">
        <v>159</v>
      </c>
      <c r="C100" s="165" t="s">
        <v>243</v>
      </c>
      <c r="D100" s="124" t="s">
        <v>61</v>
      </c>
      <c r="E100" s="114"/>
      <c r="F100" s="124" t="s">
        <v>61</v>
      </c>
      <c r="G100" s="114"/>
      <c r="H100" s="165" t="s">
        <v>61</v>
      </c>
      <c r="I100" s="165" t="s">
        <v>61</v>
      </c>
      <c r="J100" s="124" t="s">
        <v>61</v>
      </c>
      <c r="K100" s="87"/>
      <c r="L100" s="87"/>
      <c r="M100" s="124" t="s">
        <v>61</v>
      </c>
      <c r="N100" s="112"/>
      <c r="O100" s="112"/>
      <c r="P100" s="204" t="s">
        <v>61</v>
      </c>
      <c r="Q100" s="204" t="s">
        <v>61</v>
      </c>
      <c r="R100" s="204">
        <f t="shared" si="29"/>
        <v>0</v>
      </c>
      <c r="S100" s="124">
        <f t="shared" si="30"/>
        <v>0</v>
      </c>
      <c r="T100" s="165" t="s">
        <v>354</v>
      </c>
      <c r="U100" s="169">
        <f>U98+1</f>
        <v>59</v>
      </c>
      <c r="V100" s="124" t="s">
        <v>61</v>
      </c>
      <c r="W100" s="125" t="s">
        <v>61</v>
      </c>
      <c r="X100" s="126" t="s">
        <v>61</v>
      </c>
      <c r="Y100" s="127" t="s">
        <v>61</v>
      </c>
      <c r="Z100" s="127" t="s">
        <v>61</v>
      </c>
      <c r="AA100" s="127" t="s">
        <v>61</v>
      </c>
      <c r="AB100" s="127" t="s">
        <v>61</v>
      </c>
      <c r="AC100" s="127"/>
      <c r="AD100" s="123" t="s">
        <v>129</v>
      </c>
      <c r="AE100" s="165" t="s">
        <v>61</v>
      </c>
      <c r="AF100" s="125" t="s">
        <v>61</v>
      </c>
      <c r="AG100" s="126" t="s">
        <v>61</v>
      </c>
      <c r="AH100" s="127" t="s">
        <v>61</v>
      </c>
      <c r="AI100" s="127" t="s">
        <v>61</v>
      </c>
      <c r="AJ100" s="127" t="s">
        <v>61</v>
      </c>
      <c r="AK100" s="128" t="s">
        <v>61</v>
      </c>
      <c r="AL100" s="129" t="s">
        <v>61</v>
      </c>
      <c r="AM100" s="123" t="s">
        <v>129</v>
      </c>
      <c r="AN100" s="172">
        <f t="shared" si="22"/>
        <v>59</v>
      </c>
      <c r="AO100" s="329" t="s">
        <v>153</v>
      </c>
      <c r="AP100" s="173">
        <f>R100</f>
        <v>0</v>
      </c>
      <c r="AQ100" s="173">
        <f>S100</f>
        <v>0</v>
      </c>
      <c r="AR100" s="173">
        <v>0</v>
      </c>
      <c r="AS100" s="173" t="s">
        <v>158</v>
      </c>
      <c r="AT100" s="174" t="str">
        <f>AN98&amp;","&amp;AN101</f>
        <v>58,60</v>
      </c>
      <c r="AU100" s="155" t="s">
        <v>241</v>
      </c>
    </row>
    <row r="101" spans="1:47">
      <c r="A101" s="278" t="s">
        <v>174</v>
      </c>
      <c r="B101" s="116" t="s">
        <v>159</v>
      </c>
      <c r="C101" s="165" t="s">
        <v>244</v>
      </c>
      <c r="D101" s="124" t="s">
        <v>61</v>
      </c>
      <c r="E101" s="114"/>
      <c r="F101" s="124" t="s">
        <v>61</v>
      </c>
      <c r="G101" s="114"/>
      <c r="H101" s="165" t="s">
        <v>61</v>
      </c>
      <c r="I101" s="165" t="s">
        <v>61</v>
      </c>
      <c r="J101" s="124" t="s">
        <v>61</v>
      </c>
      <c r="K101" s="87"/>
      <c r="L101" s="87"/>
      <c r="M101" s="124" t="s">
        <v>61</v>
      </c>
      <c r="N101" s="112"/>
      <c r="O101" s="112"/>
      <c r="P101" s="204" t="s">
        <v>61</v>
      </c>
      <c r="Q101" s="204" t="s">
        <v>61</v>
      </c>
      <c r="R101" s="204">
        <f t="shared" si="29"/>
        <v>0</v>
      </c>
      <c r="S101" s="124">
        <f t="shared" si="30"/>
        <v>0</v>
      </c>
      <c r="T101" s="394" t="s">
        <v>355</v>
      </c>
      <c r="U101" s="394">
        <f>U100+1</f>
        <v>60</v>
      </c>
      <c r="V101" s="124" t="s">
        <v>61</v>
      </c>
      <c r="W101" s="125" t="s">
        <v>61</v>
      </c>
      <c r="X101" s="126" t="s">
        <v>61</v>
      </c>
      <c r="Y101" s="127" t="s">
        <v>61</v>
      </c>
      <c r="Z101" s="127" t="s">
        <v>61</v>
      </c>
      <c r="AA101" s="127" t="s">
        <v>61</v>
      </c>
      <c r="AB101" s="127" t="s">
        <v>61</v>
      </c>
      <c r="AC101" s="127"/>
      <c r="AD101" s="123" t="s">
        <v>129</v>
      </c>
      <c r="AE101" s="165" t="s">
        <v>61</v>
      </c>
      <c r="AF101" s="125" t="s">
        <v>61</v>
      </c>
      <c r="AG101" s="126" t="s">
        <v>61</v>
      </c>
      <c r="AH101" s="127" t="s">
        <v>61</v>
      </c>
      <c r="AI101" s="127" t="s">
        <v>61</v>
      </c>
      <c r="AJ101" s="127" t="s">
        <v>61</v>
      </c>
      <c r="AK101" s="128" t="s">
        <v>61</v>
      </c>
      <c r="AL101" s="129" t="s">
        <v>61</v>
      </c>
      <c r="AM101" s="123" t="s">
        <v>129</v>
      </c>
      <c r="AN101" s="380">
        <f>U101</f>
        <v>60</v>
      </c>
      <c r="AO101" s="380" t="s">
        <v>153</v>
      </c>
      <c r="AP101" s="382">
        <f>R101</f>
        <v>0</v>
      </c>
      <c r="AQ101" s="382">
        <f>S101</f>
        <v>0</v>
      </c>
      <c r="AR101" s="382">
        <v>0</v>
      </c>
      <c r="AS101" s="384" t="s">
        <v>162</v>
      </c>
      <c r="AT101" s="384" t="str">
        <f>AN100&amp;","&amp;AN103</f>
        <v>59,61</v>
      </c>
      <c r="AU101" s="396" t="s">
        <v>241</v>
      </c>
    </row>
    <row r="102" spans="1:47">
      <c r="A102" s="278" t="s">
        <v>174</v>
      </c>
      <c r="B102" s="116" t="s">
        <v>159</v>
      </c>
      <c r="C102" s="165" t="s">
        <v>244</v>
      </c>
      <c r="D102" s="124" t="s">
        <v>61</v>
      </c>
      <c r="E102" s="114"/>
      <c r="F102" s="124" t="s">
        <v>61</v>
      </c>
      <c r="G102" s="114"/>
      <c r="H102" s="165" t="s">
        <v>61</v>
      </c>
      <c r="I102" s="165" t="s">
        <v>61</v>
      </c>
      <c r="J102" s="124" t="s">
        <v>61</v>
      </c>
      <c r="K102" s="87"/>
      <c r="L102" s="87"/>
      <c r="M102" s="124" t="s">
        <v>61</v>
      </c>
      <c r="N102" s="112"/>
      <c r="O102" s="112"/>
      <c r="P102" s="204" t="s">
        <v>61</v>
      </c>
      <c r="Q102" s="204" t="s">
        <v>61</v>
      </c>
      <c r="R102" s="204">
        <f t="shared" si="29"/>
        <v>0</v>
      </c>
      <c r="S102" s="124">
        <f t="shared" si="30"/>
        <v>0</v>
      </c>
      <c r="T102" s="395"/>
      <c r="U102" s="395"/>
      <c r="V102" s="124" t="s">
        <v>61</v>
      </c>
      <c r="W102" s="125" t="s">
        <v>61</v>
      </c>
      <c r="X102" s="126" t="s">
        <v>61</v>
      </c>
      <c r="Y102" s="127" t="s">
        <v>61</v>
      </c>
      <c r="Z102" s="127" t="s">
        <v>61</v>
      </c>
      <c r="AA102" s="127" t="s">
        <v>61</v>
      </c>
      <c r="AB102" s="127" t="s">
        <v>61</v>
      </c>
      <c r="AC102" s="127"/>
      <c r="AD102" s="123" t="s">
        <v>129</v>
      </c>
      <c r="AE102" s="165" t="s">
        <v>61</v>
      </c>
      <c r="AF102" s="125" t="s">
        <v>61</v>
      </c>
      <c r="AG102" s="126" t="s">
        <v>61</v>
      </c>
      <c r="AH102" s="127" t="s">
        <v>61</v>
      </c>
      <c r="AI102" s="127" t="s">
        <v>61</v>
      </c>
      <c r="AJ102" s="127" t="s">
        <v>61</v>
      </c>
      <c r="AK102" s="128" t="s">
        <v>61</v>
      </c>
      <c r="AL102" s="129" t="s">
        <v>61</v>
      </c>
      <c r="AM102" s="123" t="s">
        <v>129</v>
      </c>
      <c r="AN102" s="381"/>
      <c r="AO102" s="381"/>
      <c r="AP102" s="383"/>
      <c r="AQ102" s="383"/>
      <c r="AR102" s="383"/>
      <c r="AS102" s="385"/>
      <c r="AT102" s="385"/>
      <c r="AU102" s="397"/>
    </row>
    <row r="103" spans="1:47">
      <c r="A103" s="278" t="s">
        <v>174</v>
      </c>
      <c r="B103" s="116" t="s">
        <v>159</v>
      </c>
      <c r="C103" s="165" t="s">
        <v>243</v>
      </c>
      <c r="D103" s="124" t="s">
        <v>61</v>
      </c>
      <c r="E103" s="114"/>
      <c r="F103" s="124" t="s">
        <v>61</v>
      </c>
      <c r="G103" s="114"/>
      <c r="H103" s="165" t="s">
        <v>61</v>
      </c>
      <c r="I103" s="165" t="s">
        <v>61</v>
      </c>
      <c r="J103" s="124" t="s">
        <v>61</v>
      </c>
      <c r="K103" s="87"/>
      <c r="L103" s="87"/>
      <c r="M103" s="124" t="s">
        <v>61</v>
      </c>
      <c r="N103" s="112"/>
      <c r="O103" s="112"/>
      <c r="P103" s="204" t="s">
        <v>61</v>
      </c>
      <c r="Q103" s="204" t="s">
        <v>61</v>
      </c>
      <c r="R103" s="204">
        <f t="shared" si="29"/>
        <v>0</v>
      </c>
      <c r="S103" s="124">
        <f t="shared" si="30"/>
        <v>0</v>
      </c>
      <c r="T103" s="165" t="s">
        <v>356</v>
      </c>
      <c r="U103" s="169">
        <f>U101+1</f>
        <v>61</v>
      </c>
      <c r="V103" s="124" t="s">
        <v>61</v>
      </c>
      <c r="W103" s="125" t="s">
        <v>61</v>
      </c>
      <c r="X103" s="126" t="s">
        <v>61</v>
      </c>
      <c r="Y103" s="127" t="s">
        <v>61</v>
      </c>
      <c r="Z103" s="127" t="s">
        <v>61</v>
      </c>
      <c r="AA103" s="127" t="s">
        <v>61</v>
      </c>
      <c r="AB103" s="127" t="s">
        <v>61</v>
      </c>
      <c r="AC103" s="127"/>
      <c r="AD103" s="123" t="s">
        <v>129</v>
      </c>
      <c r="AE103" s="165" t="s">
        <v>61</v>
      </c>
      <c r="AF103" s="125" t="s">
        <v>61</v>
      </c>
      <c r="AG103" s="126" t="s">
        <v>61</v>
      </c>
      <c r="AH103" s="127" t="s">
        <v>61</v>
      </c>
      <c r="AI103" s="127" t="s">
        <v>61</v>
      </c>
      <c r="AJ103" s="127" t="s">
        <v>61</v>
      </c>
      <c r="AK103" s="128" t="s">
        <v>61</v>
      </c>
      <c r="AL103" s="129" t="s">
        <v>61</v>
      </c>
      <c r="AM103" s="123" t="s">
        <v>129</v>
      </c>
      <c r="AN103" s="172">
        <f t="shared" si="22"/>
        <v>61</v>
      </c>
      <c r="AO103" s="329" t="s">
        <v>153</v>
      </c>
      <c r="AP103" s="173">
        <f>R103</f>
        <v>0</v>
      </c>
      <c r="AQ103" s="173">
        <f>S103</f>
        <v>0</v>
      </c>
      <c r="AR103" s="173">
        <v>0</v>
      </c>
      <c r="AS103" s="173" t="s">
        <v>158</v>
      </c>
      <c r="AT103" s="174" t="str">
        <f>AN101&amp;","&amp;AN104</f>
        <v>60,62</v>
      </c>
      <c r="AU103" s="155" t="s">
        <v>241</v>
      </c>
    </row>
    <row r="104" spans="1:47">
      <c r="A104" s="278" t="s">
        <v>174</v>
      </c>
      <c r="B104" s="116" t="s">
        <v>159</v>
      </c>
      <c r="C104" s="165" t="s">
        <v>244</v>
      </c>
      <c r="D104" s="124" t="s">
        <v>61</v>
      </c>
      <c r="E104" s="114"/>
      <c r="F104" s="124" t="s">
        <v>61</v>
      </c>
      <c r="G104" s="114"/>
      <c r="H104" s="165" t="s">
        <v>61</v>
      </c>
      <c r="I104" s="165" t="s">
        <v>61</v>
      </c>
      <c r="J104" s="124" t="s">
        <v>61</v>
      </c>
      <c r="K104" s="87"/>
      <c r="L104" s="87"/>
      <c r="M104" s="124" t="s">
        <v>61</v>
      </c>
      <c r="N104" s="112"/>
      <c r="O104" s="112"/>
      <c r="P104" s="204" t="s">
        <v>61</v>
      </c>
      <c r="Q104" s="204" t="s">
        <v>61</v>
      </c>
      <c r="R104" s="204">
        <f t="shared" si="29"/>
        <v>0</v>
      </c>
      <c r="S104" s="124">
        <f t="shared" si="30"/>
        <v>0</v>
      </c>
      <c r="T104" s="394" t="s">
        <v>358</v>
      </c>
      <c r="U104" s="394">
        <f>U103+1</f>
        <v>62</v>
      </c>
      <c r="V104" s="124" t="s">
        <v>61</v>
      </c>
      <c r="W104" s="125" t="s">
        <v>61</v>
      </c>
      <c r="X104" s="126" t="s">
        <v>61</v>
      </c>
      <c r="Y104" s="127" t="s">
        <v>61</v>
      </c>
      <c r="Z104" s="127" t="s">
        <v>61</v>
      </c>
      <c r="AA104" s="127" t="s">
        <v>61</v>
      </c>
      <c r="AB104" s="127" t="s">
        <v>61</v>
      </c>
      <c r="AC104" s="127"/>
      <c r="AD104" s="123" t="s">
        <v>129</v>
      </c>
      <c r="AE104" s="165" t="s">
        <v>61</v>
      </c>
      <c r="AF104" s="125" t="s">
        <v>61</v>
      </c>
      <c r="AG104" s="126" t="s">
        <v>61</v>
      </c>
      <c r="AH104" s="127" t="s">
        <v>61</v>
      </c>
      <c r="AI104" s="127" t="s">
        <v>61</v>
      </c>
      <c r="AJ104" s="127" t="s">
        <v>61</v>
      </c>
      <c r="AK104" s="128" t="s">
        <v>61</v>
      </c>
      <c r="AL104" s="129" t="s">
        <v>61</v>
      </c>
      <c r="AM104" s="123" t="s">
        <v>129</v>
      </c>
      <c r="AN104" s="380">
        <f>U104</f>
        <v>62</v>
      </c>
      <c r="AO104" s="380" t="s">
        <v>153</v>
      </c>
      <c r="AP104" s="382">
        <f>R104</f>
        <v>0</v>
      </c>
      <c r="AQ104" s="382">
        <f>S104</f>
        <v>0</v>
      </c>
      <c r="AR104" s="382">
        <v>0</v>
      </c>
      <c r="AS104" s="384" t="s">
        <v>162</v>
      </c>
      <c r="AT104" s="384">
        <f>AN103</f>
        <v>61</v>
      </c>
      <c r="AU104" s="396" t="s">
        <v>241</v>
      </c>
    </row>
    <row r="105" spans="1:47" ht="15" thickBot="1">
      <c r="A105" s="278" t="s">
        <v>174</v>
      </c>
      <c r="B105" s="116" t="s">
        <v>159</v>
      </c>
      <c r="C105" s="165" t="s">
        <v>244</v>
      </c>
      <c r="D105" s="124" t="s">
        <v>61</v>
      </c>
      <c r="E105" s="114"/>
      <c r="F105" s="124" t="s">
        <v>61</v>
      </c>
      <c r="G105" s="114"/>
      <c r="H105" s="165" t="s">
        <v>61</v>
      </c>
      <c r="I105" s="165" t="s">
        <v>61</v>
      </c>
      <c r="J105" s="124" t="s">
        <v>61</v>
      </c>
      <c r="K105" s="87"/>
      <c r="L105" s="87"/>
      <c r="M105" s="124" t="s">
        <v>61</v>
      </c>
      <c r="N105" s="112"/>
      <c r="O105" s="112"/>
      <c r="P105" s="204" t="s">
        <v>61</v>
      </c>
      <c r="Q105" s="204" t="s">
        <v>61</v>
      </c>
      <c r="R105" s="204">
        <f t="shared" si="29"/>
        <v>0</v>
      </c>
      <c r="S105" s="124">
        <f t="shared" si="30"/>
        <v>0</v>
      </c>
      <c r="T105" s="395"/>
      <c r="U105" s="395"/>
      <c r="V105" s="124" t="s">
        <v>61</v>
      </c>
      <c r="W105" s="125" t="s">
        <v>61</v>
      </c>
      <c r="X105" s="126" t="s">
        <v>61</v>
      </c>
      <c r="Y105" s="127" t="s">
        <v>61</v>
      </c>
      <c r="Z105" s="127" t="s">
        <v>61</v>
      </c>
      <c r="AA105" s="127" t="s">
        <v>61</v>
      </c>
      <c r="AB105" s="127" t="s">
        <v>61</v>
      </c>
      <c r="AC105" s="127"/>
      <c r="AD105" s="123" t="s">
        <v>129</v>
      </c>
      <c r="AE105" s="165" t="s">
        <v>61</v>
      </c>
      <c r="AF105" s="125" t="s">
        <v>61</v>
      </c>
      <c r="AG105" s="126" t="s">
        <v>61</v>
      </c>
      <c r="AH105" s="127" t="s">
        <v>61</v>
      </c>
      <c r="AI105" s="127" t="s">
        <v>61</v>
      </c>
      <c r="AJ105" s="127" t="s">
        <v>61</v>
      </c>
      <c r="AK105" s="128" t="s">
        <v>61</v>
      </c>
      <c r="AL105" s="129" t="s">
        <v>61</v>
      </c>
      <c r="AM105" s="123" t="s">
        <v>129</v>
      </c>
      <c r="AN105" s="381"/>
      <c r="AO105" s="381"/>
      <c r="AP105" s="383"/>
      <c r="AQ105" s="383"/>
      <c r="AR105" s="383"/>
      <c r="AS105" s="385"/>
      <c r="AT105" s="385"/>
      <c r="AU105" s="397"/>
    </row>
    <row r="106" spans="1:47" ht="19.5" customHeight="1" thickBot="1">
      <c r="A106" s="276" t="s">
        <v>173</v>
      </c>
      <c r="B106" s="188"/>
      <c r="C106" s="188"/>
      <c r="D106" s="188"/>
      <c r="E106" s="188"/>
      <c r="F106" s="188"/>
      <c r="G106" s="188"/>
      <c r="H106" s="245"/>
      <c r="I106" s="245"/>
      <c r="J106" s="188"/>
      <c r="K106" s="188"/>
      <c r="L106" s="188"/>
      <c r="M106" s="188"/>
      <c r="N106" s="188"/>
      <c r="O106" s="188"/>
      <c r="P106" s="188"/>
      <c r="Q106" s="188"/>
      <c r="R106" s="188"/>
      <c r="S106" s="188"/>
      <c r="T106" s="188"/>
      <c r="U106" s="188"/>
      <c r="V106" s="188"/>
      <c r="W106" s="188"/>
      <c r="X106" s="188"/>
      <c r="Y106" s="188"/>
      <c r="Z106" s="188"/>
      <c r="AA106" s="188"/>
      <c r="AB106" s="188"/>
      <c r="AC106" s="188"/>
      <c r="AD106" s="188"/>
      <c r="AE106" s="188"/>
      <c r="AF106" s="188"/>
      <c r="AG106" s="188"/>
      <c r="AH106" s="188"/>
      <c r="AI106" s="188"/>
      <c r="AJ106" s="188"/>
      <c r="AK106" s="188"/>
      <c r="AL106" s="188"/>
      <c r="AM106" s="188"/>
      <c r="AN106" s="359" t="s">
        <v>488</v>
      </c>
      <c r="AO106" s="245"/>
      <c r="AP106" s="188"/>
      <c r="AQ106" s="188"/>
      <c r="AR106" s="188"/>
      <c r="AS106" s="188"/>
      <c r="AT106" s="188"/>
      <c r="AU106" s="189"/>
    </row>
    <row r="107" spans="1:47">
      <c r="A107" s="278" t="s">
        <v>174</v>
      </c>
      <c r="B107" s="116" t="s">
        <v>129</v>
      </c>
      <c r="C107" s="116" t="s">
        <v>54</v>
      </c>
      <c r="D107" s="117">
        <v>9</v>
      </c>
      <c r="E107" s="118"/>
      <c r="F107" s="119">
        <v>974</v>
      </c>
      <c r="G107" s="119">
        <v>0</v>
      </c>
      <c r="H107" s="116" t="s">
        <v>1</v>
      </c>
      <c r="I107" s="116" t="s">
        <v>68</v>
      </c>
      <c r="J107" s="120"/>
      <c r="K107" s="121"/>
      <c r="L107" s="121"/>
      <c r="M107" s="120"/>
      <c r="N107" s="115"/>
      <c r="O107" s="115"/>
      <c r="P107" s="193"/>
      <c r="Q107" s="193"/>
      <c r="R107" s="122"/>
      <c r="S107" s="122"/>
      <c r="T107" s="394" t="s">
        <v>72</v>
      </c>
      <c r="U107" s="394" t="s">
        <v>157</v>
      </c>
      <c r="V107" s="124" t="s">
        <v>141</v>
      </c>
      <c r="W107" s="125" t="s">
        <v>141</v>
      </c>
      <c r="X107" s="126" t="s">
        <v>141</v>
      </c>
      <c r="Y107" s="127" t="s">
        <v>142</v>
      </c>
      <c r="Z107" s="127" t="s">
        <v>141</v>
      </c>
      <c r="AA107" s="127" t="s">
        <v>141</v>
      </c>
      <c r="AB107" s="127" t="s">
        <v>141</v>
      </c>
      <c r="AC107" s="127"/>
      <c r="AD107" s="123" t="s">
        <v>129</v>
      </c>
      <c r="AE107" s="165" t="s">
        <v>141</v>
      </c>
      <c r="AF107" s="125" t="s">
        <v>141</v>
      </c>
      <c r="AG107" s="126" t="s">
        <v>141</v>
      </c>
      <c r="AH107" s="127" t="s">
        <v>141</v>
      </c>
      <c r="AI107" s="127" t="s">
        <v>142</v>
      </c>
      <c r="AJ107" s="127" t="s">
        <v>143</v>
      </c>
      <c r="AK107" s="128" t="s">
        <v>141</v>
      </c>
      <c r="AL107" s="129" t="s">
        <v>141</v>
      </c>
      <c r="AM107" s="123" t="s">
        <v>129</v>
      </c>
      <c r="AN107" s="165" t="s">
        <v>141</v>
      </c>
      <c r="AO107" s="170" t="s">
        <v>141</v>
      </c>
      <c r="AP107" s="127" t="s">
        <v>142</v>
      </c>
      <c r="AQ107" s="127" t="s">
        <v>141</v>
      </c>
      <c r="AR107" s="127"/>
      <c r="AS107" s="127"/>
      <c r="AT107" s="127" t="s">
        <v>141</v>
      </c>
      <c r="AU107" s="123" t="s">
        <v>129</v>
      </c>
    </row>
    <row r="108" spans="1:47">
      <c r="A108" s="278" t="s">
        <v>175</v>
      </c>
      <c r="B108" s="116" t="s">
        <v>129</v>
      </c>
      <c r="C108" s="116" t="s">
        <v>54</v>
      </c>
      <c r="D108" s="117">
        <v>10</v>
      </c>
      <c r="E108" s="118"/>
      <c r="F108" s="119">
        <v>1019</v>
      </c>
      <c r="G108" s="119">
        <v>0</v>
      </c>
      <c r="H108" s="116" t="s">
        <v>2</v>
      </c>
      <c r="I108" s="116" t="s">
        <v>11</v>
      </c>
      <c r="J108" s="120">
        <v>58394.601204405066</v>
      </c>
      <c r="K108" s="121">
        <v>58394601.204405069</v>
      </c>
      <c r="L108" s="121">
        <v>58394601.204405099</v>
      </c>
      <c r="M108" s="120">
        <v>-10374.803819896444</v>
      </c>
      <c r="N108" s="115">
        <v>-10374803.819896445</v>
      </c>
      <c r="O108" s="115">
        <v>-10374803.819896445</v>
      </c>
      <c r="P108" s="193">
        <v>333135.43848999997</v>
      </c>
      <c r="Q108" s="193">
        <v>1332317.8972199999</v>
      </c>
      <c r="R108" s="122">
        <f>LEFT(P108,2)+MID(P108,3,2)/60+MID(P108,5,8)/3600</f>
        <v>33.526510691666665</v>
      </c>
      <c r="S108" s="122">
        <f>LEFT(Q108,3)+MID(Q108,4,2)/60+MID(Q108,6,8)/3600</f>
        <v>133.38830478333333</v>
      </c>
      <c r="T108" s="395"/>
      <c r="U108" s="395"/>
      <c r="V108" s="124" t="s">
        <v>141</v>
      </c>
      <c r="W108" s="125" t="s">
        <v>141</v>
      </c>
      <c r="X108" s="126" t="s">
        <v>141</v>
      </c>
      <c r="Y108" s="127" t="s">
        <v>142</v>
      </c>
      <c r="Z108" s="127" t="s">
        <v>141</v>
      </c>
      <c r="AA108" s="127" t="s">
        <v>141</v>
      </c>
      <c r="AB108" s="127" t="s">
        <v>141</v>
      </c>
      <c r="AC108" s="127"/>
      <c r="AD108" s="123" t="s">
        <v>129</v>
      </c>
      <c r="AE108" s="165" t="s">
        <v>141</v>
      </c>
      <c r="AF108" s="125" t="s">
        <v>141</v>
      </c>
      <c r="AG108" s="126" t="s">
        <v>141</v>
      </c>
      <c r="AH108" s="127" t="s">
        <v>142</v>
      </c>
      <c r="AI108" s="127" t="s">
        <v>141</v>
      </c>
      <c r="AJ108" s="127" t="s">
        <v>141</v>
      </c>
      <c r="AK108" s="128" t="s">
        <v>141</v>
      </c>
      <c r="AL108" s="129" t="s">
        <v>141</v>
      </c>
      <c r="AM108" s="123" t="s">
        <v>129</v>
      </c>
      <c r="AN108" s="165" t="s">
        <v>141</v>
      </c>
      <c r="AO108" s="170" t="s">
        <v>141</v>
      </c>
      <c r="AP108" s="127" t="s">
        <v>142</v>
      </c>
      <c r="AQ108" s="127" t="s">
        <v>141</v>
      </c>
      <c r="AR108" s="127"/>
      <c r="AS108" s="127"/>
      <c r="AT108" s="127" t="s">
        <v>141</v>
      </c>
      <c r="AU108" s="123" t="s">
        <v>129</v>
      </c>
    </row>
    <row r="109" spans="1:47">
      <c r="A109" s="273" t="s">
        <v>174</v>
      </c>
      <c r="B109" s="155" t="s">
        <v>240</v>
      </c>
      <c r="C109" s="24" t="s">
        <v>55</v>
      </c>
      <c r="D109" s="183" t="s">
        <v>179</v>
      </c>
      <c r="E109" s="151"/>
      <c r="F109" s="150" t="s">
        <v>61</v>
      </c>
      <c r="G109" s="151"/>
      <c r="H109" s="240" t="s">
        <v>61</v>
      </c>
      <c r="I109" s="240" t="s">
        <v>61</v>
      </c>
      <c r="J109" s="241">
        <v>58127.850609881003</v>
      </c>
      <c r="K109" s="31"/>
      <c r="L109" s="31"/>
      <c r="M109" s="241">
        <v>-10132.967720094</v>
      </c>
      <c r="N109" s="38"/>
      <c r="O109" s="38"/>
      <c r="P109" s="200">
        <v>333126.7879</v>
      </c>
      <c r="Q109" s="201">
        <v>1332327.28107</v>
      </c>
      <c r="R109" s="27">
        <f t="shared" ref="R109:R110" si="38">LEFT(P109,2)+MID(P109,3,2)/60+MID(P109,5,8)/3600</f>
        <v>33.524107749999999</v>
      </c>
      <c r="S109" s="27">
        <f t="shared" ref="S109" si="39">LEFT(Q109,3)+MID(Q109,4,2)/60+MID(Q109,6,8)/3600</f>
        <v>133.39091140833332</v>
      </c>
      <c r="T109" s="392" t="s">
        <v>168</v>
      </c>
      <c r="U109" s="392">
        <f>U68+1</f>
        <v>39</v>
      </c>
      <c r="V109" s="150" t="s">
        <v>165</v>
      </c>
      <c r="W109" s="152">
        <v>2</v>
      </c>
      <c r="X109" s="153">
        <v>1</v>
      </c>
      <c r="Y109" s="154">
        <f>S109</f>
        <v>133.39091140833332</v>
      </c>
      <c r="Z109" s="154">
        <f>R109</f>
        <v>33.524107749999999</v>
      </c>
      <c r="AA109" s="154">
        <v>-70</v>
      </c>
      <c r="AB109" s="154">
        <v>-90</v>
      </c>
      <c r="AC109" s="154">
        <v>-80</v>
      </c>
      <c r="AD109" s="123" t="s">
        <v>129</v>
      </c>
      <c r="AE109" s="165" t="s">
        <v>61</v>
      </c>
      <c r="AF109" s="125" t="s">
        <v>61</v>
      </c>
      <c r="AG109" s="126" t="s">
        <v>61</v>
      </c>
      <c r="AH109" s="127" t="s">
        <v>61</v>
      </c>
      <c r="AI109" s="127" t="s">
        <v>61</v>
      </c>
      <c r="AJ109" s="127" t="s">
        <v>61</v>
      </c>
      <c r="AK109" s="128" t="s">
        <v>61</v>
      </c>
      <c r="AL109" s="129" t="s">
        <v>61</v>
      </c>
      <c r="AM109" s="123" t="s">
        <v>129</v>
      </c>
      <c r="AN109" s="380">
        <f t="shared" ref="AN109" si="40">U109</f>
        <v>39</v>
      </c>
      <c r="AO109" s="380" t="s">
        <v>153</v>
      </c>
      <c r="AP109" s="382">
        <f>S109</f>
        <v>133.39091140833332</v>
      </c>
      <c r="AQ109" s="382">
        <f>R109</f>
        <v>33.524107749999999</v>
      </c>
      <c r="AR109" s="382">
        <v>15</v>
      </c>
      <c r="AS109" s="380" t="s">
        <v>158</v>
      </c>
      <c r="AT109" s="384" t="s">
        <v>487</v>
      </c>
      <c r="AU109" s="396" t="s">
        <v>241</v>
      </c>
    </row>
    <row r="110" spans="1:47" ht="15" thickBot="1">
      <c r="A110" s="273" t="s">
        <v>174</v>
      </c>
      <c r="B110" s="155" t="s">
        <v>240</v>
      </c>
      <c r="C110" s="24" t="s">
        <v>55</v>
      </c>
      <c r="D110" s="183" t="s">
        <v>180</v>
      </c>
      <c r="E110" s="151"/>
      <c r="F110" s="150" t="s">
        <v>61</v>
      </c>
      <c r="G110" s="151"/>
      <c r="H110" s="240" t="s">
        <v>61</v>
      </c>
      <c r="I110" s="240" t="s">
        <v>61</v>
      </c>
      <c r="J110" s="241">
        <v>58127.850609881003</v>
      </c>
      <c r="K110" s="31"/>
      <c r="L110" s="31"/>
      <c r="M110" s="241">
        <v>-10132.967720094</v>
      </c>
      <c r="N110" s="38"/>
      <c r="O110" s="38"/>
      <c r="P110" s="200">
        <v>333126.7879</v>
      </c>
      <c r="Q110" s="201">
        <v>1332327.28107</v>
      </c>
      <c r="R110" s="27">
        <f t="shared" si="38"/>
        <v>33.524107749999999</v>
      </c>
      <c r="S110" s="27">
        <f>LEFT(Q110,3)+MID(Q110,4,2)/60+MID(Q110,6,8)/3600</f>
        <v>133.39091140833332</v>
      </c>
      <c r="T110" s="393"/>
      <c r="U110" s="412"/>
      <c r="V110" s="150" t="s">
        <v>166</v>
      </c>
      <c r="W110" s="152">
        <v>2</v>
      </c>
      <c r="X110" s="153">
        <v>2</v>
      </c>
      <c r="Y110" s="154">
        <f>S110</f>
        <v>133.39091140833332</v>
      </c>
      <c r="Z110" s="154">
        <f>R110</f>
        <v>33.524107749999999</v>
      </c>
      <c r="AA110" s="154">
        <v>-70</v>
      </c>
      <c r="AB110" s="154">
        <v>-90</v>
      </c>
      <c r="AC110" s="154">
        <v>-80</v>
      </c>
      <c r="AD110" s="123" t="s">
        <v>129</v>
      </c>
      <c r="AE110" s="165" t="s">
        <v>61</v>
      </c>
      <c r="AF110" s="125" t="s">
        <v>61</v>
      </c>
      <c r="AG110" s="126" t="s">
        <v>61</v>
      </c>
      <c r="AH110" s="127" t="s">
        <v>61</v>
      </c>
      <c r="AI110" s="127" t="s">
        <v>61</v>
      </c>
      <c r="AJ110" s="127" t="s">
        <v>61</v>
      </c>
      <c r="AK110" s="128" t="s">
        <v>61</v>
      </c>
      <c r="AL110" s="129" t="s">
        <v>61</v>
      </c>
      <c r="AM110" s="123" t="s">
        <v>129</v>
      </c>
      <c r="AN110" s="413"/>
      <c r="AO110" s="413"/>
      <c r="AP110" s="414"/>
      <c r="AQ110" s="414"/>
      <c r="AR110" s="414"/>
      <c r="AS110" s="413"/>
      <c r="AT110" s="415"/>
      <c r="AU110" s="397"/>
    </row>
    <row r="111" spans="1:47">
      <c r="A111" s="278" t="s">
        <v>174</v>
      </c>
      <c r="B111" s="116" t="s">
        <v>129</v>
      </c>
      <c r="C111" s="116" t="s">
        <v>54</v>
      </c>
      <c r="D111" s="117">
        <v>9</v>
      </c>
      <c r="E111" s="118"/>
      <c r="F111" s="119">
        <v>974</v>
      </c>
      <c r="G111" s="119">
        <v>0</v>
      </c>
      <c r="H111" s="116" t="s">
        <v>1</v>
      </c>
      <c r="I111" s="116" t="s">
        <v>68</v>
      </c>
      <c r="J111" s="120"/>
      <c r="K111" s="121"/>
      <c r="L111" s="121"/>
      <c r="M111" s="120"/>
      <c r="N111" s="115"/>
      <c r="O111" s="115"/>
      <c r="P111" s="193"/>
      <c r="Q111" s="193"/>
      <c r="R111" s="122"/>
      <c r="S111" s="122"/>
      <c r="T111" s="394" t="s">
        <v>72</v>
      </c>
      <c r="U111" s="394" t="s">
        <v>157</v>
      </c>
      <c r="V111" s="124" t="s">
        <v>141</v>
      </c>
      <c r="W111" s="125" t="s">
        <v>141</v>
      </c>
      <c r="X111" s="126" t="s">
        <v>141</v>
      </c>
      <c r="Y111" s="127" t="s">
        <v>142</v>
      </c>
      <c r="Z111" s="127" t="s">
        <v>141</v>
      </c>
      <c r="AA111" s="127" t="s">
        <v>141</v>
      </c>
      <c r="AB111" s="127" t="s">
        <v>141</v>
      </c>
      <c r="AC111" s="127"/>
      <c r="AD111" s="123" t="s">
        <v>129</v>
      </c>
      <c r="AE111" s="165" t="s">
        <v>141</v>
      </c>
      <c r="AF111" s="125" t="s">
        <v>141</v>
      </c>
      <c r="AG111" s="126" t="s">
        <v>141</v>
      </c>
      <c r="AH111" s="127" t="s">
        <v>141</v>
      </c>
      <c r="AI111" s="127" t="s">
        <v>142</v>
      </c>
      <c r="AJ111" s="127" t="s">
        <v>143</v>
      </c>
      <c r="AK111" s="128" t="s">
        <v>141</v>
      </c>
      <c r="AL111" s="129" t="s">
        <v>141</v>
      </c>
      <c r="AM111" s="123" t="s">
        <v>129</v>
      </c>
      <c r="AN111" s="165" t="s">
        <v>141</v>
      </c>
      <c r="AO111" s="170" t="s">
        <v>141</v>
      </c>
      <c r="AP111" s="127" t="s">
        <v>142</v>
      </c>
      <c r="AQ111" s="127" t="s">
        <v>141</v>
      </c>
      <c r="AR111" s="127"/>
      <c r="AS111" s="127"/>
      <c r="AT111" s="127" t="s">
        <v>141</v>
      </c>
      <c r="AU111" s="123" t="s">
        <v>129</v>
      </c>
    </row>
    <row r="112" spans="1:47" ht="15" thickBot="1">
      <c r="A112" s="278" t="s">
        <v>175</v>
      </c>
      <c r="B112" s="116" t="s">
        <v>129</v>
      </c>
      <c r="C112" s="116" t="s">
        <v>54</v>
      </c>
      <c r="D112" s="117">
        <v>10</v>
      </c>
      <c r="E112" s="118"/>
      <c r="F112" s="119">
        <v>1019</v>
      </c>
      <c r="G112" s="119">
        <v>0</v>
      </c>
      <c r="H112" s="116" t="s">
        <v>2</v>
      </c>
      <c r="I112" s="116" t="s">
        <v>11</v>
      </c>
      <c r="J112" s="120">
        <v>58394.601204405066</v>
      </c>
      <c r="K112" s="121">
        <v>58394601.204405069</v>
      </c>
      <c r="L112" s="121">
        <v>58394601.204405099</v>
      </c>
      <c r="M112" s="120">
        <v>-10374.803819896444</v>
      </c>
      <c r="N112" s="115">
        <v>-10374803.819896445</v>
      </c>
      <c r="O112" s="115">
        <v>-10374803.819896445</v>
      </c>
      <c r="P112" s="193">
        <v>333135.43848999997</v>
      </c>
      <c r="Q112" s="193">
        <v>1332317.8972199999</v>
      </c>
      <c r="R112" s="122">
        <f>LEFT(P112,2)+MID(P112,3,2)/60+MID(P112,5,8)/3600</f>
        <v>33.526510691666665</v>
      </c>
      <c r="S112" s="122">
        <f>LEFT(Q112,3)+MID(Q112,4,2)/60+MID(Q112,6,8)/3600</f>
        <v>133.38830478333333</v>
      </c>
      <c r="T112" s="395"/>
      <c r="U112" s="395"/>
      <c r="V112" s="124" t="s">
        <v>141</v>
      </c>
      <c r="W112" s="125" t="s">
        <v>141</v>
      </c>
      <c r="X112" s="126" t="s">
        <v>141</v>
      </c>
      <c r="Y112" s="127" t="s">
        <v>142</v>
      </c>
      <c r="Z112" s="127" t="s">
        <v>141</v>
      </c>
      <c r="AA112" s="127" t="s">
        <v>141</v>
      </c>
      <c r="AB112" s="127" t="s">
        <v>141</v>
      </c>
      <c r="AC112" s="127"/>
      <c r="AD112" s="123" t="s">
        <v>129</v>
      </c>
      <c r="AE112" s="165" t="s">
        <v>141</v>
      </c>
      <c r="AF112" s="125" t="s">
        <v>141</v>
      </c>
      <c r="AG112" s="126" t="s">
        <v>141</v>
      </c>
      <c r="AH112" s="127" t="s">
        <v>142</v>
      </c>
      <c r="AI112" s="127" t="s">
        <v>141</v>
      </c>
      <c r="AJ112" s="127" t="s">
        <v>141</v>
      </c>
      <c r="AK112" s="128" t="s">
        <v>141</v>
      </c>
      <c r="AL112" s="129" t="s">
        <v>141</v>
      </c>
      <c r="AM112" s="123" t="s">
        <v>129</v>
      </c>
      <c r="AN112" s="165" t="s">
        <v>141</v>
      </c>
      <c r="AO112" s="170" t="s">
        <v>141</v>
      </c>
      <c r="AP112" s="127" t="s">
        <v>142</v>
      </c>
      <c r="AQ112" s="127" t="s">
        <v>141</v>
      </c>
      <c r="AR112" s="127"/>
      <c r="AS112" s="127"/>
      <c r="AT112" s="127" t="s">
        <v>141</v>
      </c>
      <c r="AU112" s="123" t="s">
        <v>129</v>
      </c>
    </row>
    <row r="113" spans="1:47" ht="19.5" customHeight="1" thickBot="1">
      <c r="A113" s="276" t="s">
        <v>345</v>
      </c>
      <c r="B113" s="230"/>
      <c r="C113" s="230"/>
      <c r="D113" s="230"/>
      <c r="E113" s="230"/>
      <c r="F113" s="230"/>
      <c r="G113" s="230"/>
      <c r="H113" s="245"/>
      <c r="I113" s="245"/>
      <c r="J113" s="230"/>
      <c r="K113" s="230"/>
      <c r="L113" s="230"/>
      <c r="M113" s="230"/>
      <c r="N113" s="230"/>
      <c r="O113" s="230"/>
      <c r="P113" s="230"/>
      <c r="Q113" s="230"/>
      <c r="R113" s="230"/>
      <c r="S113" s="230"/>
      <c r="T113" s="230"/>
      <c r="U113" s="230"/>
      <c r="V113" s="230"/>
      <c r="W113" s="230"/>
      <c r="X113" s="230"/>
      <c r="Y113" s="230"/>
      <c r="Z113" s="230"/>
      <c r="AA113" s="230"/>
      <c r="AB113" s="230"/>
      <c r="AC113" s="230"/>
      <c r="AD113" s="230"/>
      <c r="AE113" s="230"/>
      <c r="AF113" s="230"/>
      <c r="AG113" s="230"/>
      <c r="AH113" s="230"/>
      <c r="AI113" s="230"/>
      <c r="AJ113" s="230"/>
      <c r="AK113" s="230"/>
      <c r="AL113" s="230"/>
      <c r="AM113" s="230"/>
      <c r="AN113" s="230"/>
      <c r="AO113" s="245"/>
      <c r="AP113" s="230"/>
      <c r="AQ113" s="230"/>
      <c r="AR113" s="230"/>
      <c r="AS113" s="230"/>
      <c r="AT113" s="230"/>
      <c r="AU113" s="231"/>
    </row>
    <row r="114" spans="1:47" ht="15" thickBot="1">
      <c r="A114" s="273" t="s">
        <v>346</v>
      </c>
      <c r="B114" s="227" t="s">
        <v>115</v>
      </c>
      <c r="C114" s="168" t="s">
        <v>243</v>
      </c>
      <c r="D114" s="98" t="s">
        <v>61</v>
      </c>
      <c r="E114" s="114"/>
      <c r="F114" s="98" t="s">
        <v>61</v>
      </c>
      <c r="G114" s="114"/>
      <c r="H114" s="168" t="s">
        <v>346</v>
      </c>
      <c r="I114" s="168" t="s">
        <v>348</v>
      </c>
      <c r="J114" s="244" t="s">
        <v>346</v>
      </c>
      <c r="K114" s="239"/>
      <c r="L114" s="239"/>
      <c r="M114" s="244" t="s">
        <v>346</v>
      </c>
      <c r="N114" s="281" t="s">
        <v>346</v>
      </c>
      <c r="O114" s="281" t="s">
        <v>346</v>
      </c>
      <c r="P114" s="279" t="s">
        <v>346</v>
      </c>
      <c r="Q114" s="280" t="s">
        <v>346</v>
      </c>
      <c r="R114" s="89">
        <v>33.543697870000003</v>
      </c>
      <c r="S114" s="282">
        <v>133.38490537000001</v>
      </c>
      <c r="T114" s="167" t="s">
        <v>346</v>
      </c>
      <c r="U114" s="167" t="s">
        <v>346</v>
      </c>
      <c r="V114" s="124" t="s">
        <v>61</v>
      </c>
      <c r="W114" s="125" t="s">
        <v>61</v>
      </c>
      <c r="X114" s="126" t="s">
        <v>61</v>
      </c>
      <c r="Y114" s="127" t="s">
        <v>61</v>
      </c>
      <c r="Z114" s="127" t="s">
        <v>61</v>
      </c>
      <c r="AA114" s="127" t="s">
        <v>61</v>
      </c>
      <c r="AB114" s="127" t="s">
        <v>61</v>
      </c>
      <c r="AC114" s="127"/>
      <c r="AD114" s="123" t="s">
        <v>129</v>
      </c>
      <c r="AE114" s="168" t="s">
        <v>347</v>
      </c>
      <c r="AF114" s="214" t="str">
        <f>LOWER(I114)</f>
        <v>e0acf1ad6e38</v>
      </c>
      <c r="AG114" s="101" t="str">
        <f>MID(AF114,1,2)&amp;":"&amp;MID(AF114,3,2)&amp;":"&amp;MID(AF114,5,2)&amp;":"&amp;MID(AF114,7,2)&amp;":"&amp;MID(AF114,9,2)&amp;":"&amp;MID(AF114,11,2)</f>
        <v>e0:ac:f1:ad:6e:38</v>
      </c>
      <c r="AH114" s="283">
        <f>S114</f>
        <v>133.38490537000001</v>
      </c>
      <c r="AI114" s="215">
        <f>R114</f>
        <v>33.543697870000003</v>
      </c>
      <c r="AJ114" s="222">
        <v>0</v>
      </c>
      <c r="AK114" s="223">
        <v>-75</v>
      </c>
      <c r="AL114" s="213"/>
      <c r="AM114" s="227" t="s">
        <v>115</v>
      </c>
      <c r="AN114" s="165" t="s">
        <v>141</v>
      </c>
      <c r="AO114" s="170" t="s">
        <v>141</v>
      </c>
      <c r="AP114" s="127" t="s">
        <v>142</v>
      </c>
      <c r="AQ114" s="127" t="s">
        <v>141</v>
      </c>
      <c r="AR114" s="127"/>
      <c r="AS114" s="127"/>
      <c r="AT114" s="127" t="s">
        <v>141</v>
      </c>
      <c r="AU114" s="123" t="s">
        <v>129</v>
      </c>
    </row>
    <row r="115" spans="1:47" ht="19.5" customHeight="1" thickBot="1">
      <c r="A115" s="377" t="s">
        <v>483</v>
      </c>
      <c r="B115" s="378"/>
      <c r="C115" s="378"/>
      <c r="D115" s="378"/>
      <c r="E115" s="378"/>
      <c r="F115" s="378"/>
      <c r="G115" s="378"/>
      <c r="H115" s="378"/>
      <c r="I115" s="378"/>
      <c r="J115" s="378"/>
      <c r="K115" s="378"/>
      <c r="L115" s="378"/>
      <c r="M115" s="378"/>
      <c r="N115" s="378"/>
      <c r="O115" s="378"/>
      <c r="P115" s="378"/>
      <c r="Q115" s="378"/>
      <c r="R115" s="378"/>
      <c r="S115" s="378"/>
      <c r="T115" s="378"/>
      <c r="U115" s="378"/>
      <c r="V115" s="378"/>
      <c r="W115" s="378"/>
      <c r="X115" s="378"/>
      <c r="Y115" s="378"/>
      <c r="Z115" s="378"/>
      <c r="AA115" s="378"/>
      <c r="AB115" s="378"/>
      <c r="AC115" s="378"/>
      <c r="AD115" s="378"/>
      <c r="AE115" s="378"/>
      <c r="AF115" s="378"/>
      <c r="AG115" s="378"/>
      <c r="AH115" s="378"/>
      <c r="AI115" s="378"/>
      <c r="AJ115" s="378"/>
      <c r="AK115" s="378"/>
      <c r="AL115" s="378"/>
      <c r="AM115" s="378"/>
      <c r="AN115" s="378"/>
      <c r="AO115" s="378"/>
      <c r="AP115" s="378"/>
      <c r="AQ115" s="378"/>
      <c r="AR115" s="378"/>
      <c r="AS115" s="378"/>
      <c r="AT115" s="378"/>
      <c r="AU115" s="379"/>
    </row>
  </sheetData>
  <mergeCells count="348">
    <mergeCell ref="AU86:AU87"/>
    <mergeCell ref="T89:T90"/>
    <mergeCell ref="U89:U90"/>
    <mergeCell ref="AN89:AN90"/>
    <mergeCell ref="AO89:AO90"/>
    <mergeCell ref="AP89:AP90"/>
    <mergeCell ref="AQ89:AQ90"/>
    <mergeCell ref="AR89:AR90"/>
    <mergeCell ref="AS89:AS90"/>
    <mergeCell ref="AT89:AT90"/>
    <mergeCell ref="AU89:AU90"/>
    <mergeCell ref="T86:T87"/>
    <mergeCell ref="U86:U87"/>
    <mergeCell ref="AN86:AN87"/>
    <mergeCell ref="AO86:AO87"/>
    <mergeCell ref="AP86:AP87"/>
    <mergeCell ref="AQ86:AQ87"/>
    <mergeCell ref="AR86:AR87"/>
    <mergeCell ref="AS86:AS87"/>
    <mergeCell ref="AT86:AT87"/>
    <mergeCell ref="AQ80:AQ81"/>
    <mergeCell ref="AR80:AR81"/>
    <mergeCell ref="AS80:AS81"/>
    <mergeCell ref="AT80:AT81"/>
    <mergeCell ref="AU80:AU81"/>
    <mergeCell ref="U83:U84"/>
    <mergeCell ref="AN83:AN84"/>
    <mergeCell ref="AO83:AO84"/>
    <mergeCell ref="AP83:AP84"/>
    <mergeCell ref="AQ83:AQ84"/>
    <mergeCell ref="AR83:AR84"/>
    <mergeCell ref="AS83:AS84"/>
    <mergeCell ref="AT83:AT84"/>
    <mergeCell ref="AU83:AU84"/>
    <mergeCell ref="A14:A15"/>
    <mergeCell ref="A10:A11"/>
    <mergeCell ref="A7:A8"/>
    <mergeCell ref="T111:T112"/>
    <mergeCell ref="U111:U112"/>
    <mergeCell ref="A20:A21"/>
    <mergeCell ref="A23:A24"/>
    <mergeCell ref="A26:A27"/>
    <mergeCell ref="AU104:AU105"/>
    <mergeCell ref="T62:T63"/>
    <mergeCell ref="AU65:AU66"/>
    <mergeCell ref="AU68:AU69"/>
    <mergeCell ref="AU71:AU72"/>
    <mergeCell ref="AU74:AU75"/>
    <mergeCell ref="AU92:AU93"/>
    <mergeCell ref="AU95:AU96"/>
    <mergeCell ref="AU98:AU99"/>
    <mergeCell ref="AU101:AU102"/>
    <mergeCell ref="T95:T96"/>
    <mergeCell ref="U95:U96"/>
    <mergeCell ref="T98:T99"/>
    <mergeCell ref="U98:U99"/>
    <mergeCell ref="T101:T102"/>
    <mergeCell ref="U101:U102"/>
    <mergeCell ref="T104:T105"/>
    <mergeCell ref="U104:U105"/>
    <mergeCell ref="AN65:AN66"/>
    <mergeCell ref="AN71:AN72"/>
    <mergeCell ref="AN92:AN93"/>
    <mergeCell ref="AN98:AN99"/>
    <mergeCell ref="AN104:AN105"/>
    <mergeCell ref="T65:T66"/>
    <mergeCell ref="AU56:AU57"/>
    <mergeCell ref="T71:T72"/>
    <mergeCell ref="U71:U72"/>
    <mergeCell ref="T74:T75"/>
    <mergeCell ref="U74:U75"/>
    <mergeCell ref="T92:T93"/>
    <mergeCell ref="U92:U93"/>
    <mergeCell ref="AP74:AP75"/>
    <mergeCell ref="AQ74:AQ75"/>
    <mergeCell ref="AR74:AR75"/>
    <mergeCell ref="AS74:AS75"/>
    <mergeCell ref="AT74:AT75"/>
    <mergeCell ref="AN101:AN102"/>
    <mergeCell ref="AO101:AO102"/>
    <mergeCell ref="AP101:AP102"/>
    <mergeCell ref="AQ101:AQ102"/>
    <mergeCell ref="AU53:AU54"/>
    <mergeCell ref="AN59:AN60"/>
    <mergeCell ref="AO59:AO60"/>
    <mergeCell ref="AP59:AP60"/>
    <mergeCell ref="AQ59:AQ60"/>
    <mergeCell ref="AR59:AR60"/>
    <mergeCell ref="AS53:AS54"/>
    <mergeCell ref="AT53:AT54"/>
    <mergeCell ref="AN56:AN57"/>
    <mergeCell ref="AO56:AO57"/>
    <mergeCell ref="AP56:AP57"/>
    <mergeCell ref="AQ56:AQ57"/>
    <mergeCell ref="AR56:AR57"/>
    <mergeCell ref="AS56:AS57"/>
    <mergeCell ref="AT56:AT57"/>
    <mergeCell ref="AN53:AN54"/>
    <mergeCell ref="AO53:AO54"/>
    <mergeCell ref="AP53:AP54"/>
    <mergeCell ref="AQ53:AQ54"/>
    <mergeCell ref="AR53:AR54"/>
    <mergeCell ref="AR41:AR42"/>
    <mergeCell ref="AN50:AN51"/>
    <mergeCell ref="AO50:AO51"/>
    <mergeCell ref="AP50:AP51"/>
    <mergeCell ref="AQ50:AQ51"/>
    <mergeCell ref="AR50:AR51"/>
    <mergeCell ref="AS50:AS51"/>
    <mergeCell ref="AT50:AT51"/>
    <mergeCell ref="AN47:AN48"/>
    <mergeCell ref="AO47:AO48"/>
    <mergeCell ref="AP47:AP48"/>
    <mergeCell ref="AQ47:AQ48"/>
    <mergeCell ref="AR47:AR48"/>
    <mergeCell ref="AT47:AT48"/>
    <mergeCell ref="AU23:AU24"/>
    <mergeCell ref="AU20:AU21"/>
    <mergeCell ref="AN20:AN21"/>
    <mergeCell ref="AO20:AO21"/>
    <mergeCell ref="AP20:AP21"/>
    <mergeCell ref="AQ20:AQ21"/>
    <mergeCell ref="AR20:AR21"/>
    <mergeCell ref="AS35:AS36"/>
    <mergeCell ref="AT35:AT36"/>
    <mergeCell ref="AN32:AN33"/>
    <mergeCell ref="AO32:AO33"/>
    <mergeCell ref="AP32:AP33"/>
    <mergeCell ref="AQ32:AQ33"/>
    <mergeCell ref="AR32:AR33"/>
    <mergeCell ref="AS32:AS33"/>
    <mergeCell ref="AT32:AT33"/>
    <mergeCell ref="AS20:AS21"/>
    <mergeCell ref="AT20:AT21"/>
    <mergeCell ref="AN23:AN24"/>
    <mergeCell ref="AO23:AO24"/>
    <mergeCell ref="AP23:AP24"/>
    <mergeCell ref="AQ23:AQ24"/>
    <mergeCell ref="AR23:AR24"/>
    <mergeCell ref="AS23:AS24"/>
    <mergeCell ref="V2:AD2"/>
    <mergeCell ref="AE2:AM2"/>
    <mergeCell ref="T2:T3"/>
    <mergeCell ref="R2:S2"/>
    <mergeCell ref="U2:U3"/>
    <mergeCell ref="T59:T60"/>
    <mergeCell ref="U59:U60"/>
    <mergeCell ref="T53:T54"/>
    <mergeCell ref="U53:U54"/>
    <mergeCell ref="T56:T57"/>
    <mergeCell ref="U56:U57"/>
    <mergeCell ref="T7:T8"/>
    <mergeCell ref="T23:T24"/>
    <mergeCell ref="U23:U24"/>
    <mergeCell ref="U14:U18"/>
    <mergeCell ref="T41:T42"/>
    <mergeCell ref="T26:T27"/>
    <mergeCell ref="U26:U27"/>
    <mergeCell ref="T32:T33"/>
    <mergeCell ref="U32:U33"/>
    <mergeCell ref="T35:T36"/>
    <mergeCell ref="U35:U36"/>
    <mergeCell ref="T38:T39"/>
    <mergeCell ref="U38:U39"/>
    <mergeCell ref="J2:M2"/>
    <mergeCell ref="P2:Q2"/>
    <mergeCell ref="C2:C3"/>
    <mergeCell ref="D2:D3"/>
    <mergeCell ref="F2:F3"/>
    <mergeCell ref="G2:G3"/>
    <mergeCell ref="H2:H3"/>
    <mergeCell ref="I2:I3"/>
    <mergeCell ref="U7:U8"/>
    <mergeCell ref="AT23:AT24"/>
    <mergeCell ref="T107:T108"/>
    <mergeCell ref="U107:U108"/>
    <mergeCell ref="AN38:AN39"/>
    <mergeCell ref="AO38:AO39"/>
    <mergeCell ref="AP38:AP39"/>
    <mergeCell ref="AQ38:AQ39"/>
    <mergeCell ref="AR38:AR39"/>
    <mergeCell ref="AS38:AS39"/>
    <mergeCell ref="AT38:AT39"/>
    <mergeCell ref="AN35:AN36"/>
    <mergeCell ref="AO35:AO36"/>
    <mergeCell ref="AP35:AP36"/>
    <mergeCell ref="AQ35:AQ36"/>
    <mergeCell ref="AR35:AR36"/>
    <mergeCell ref="AN44:AN45"/>
    <mergeCell ref="AO44:AO45"/>
    <mergeCell ref="AP44:AP45"/>
    <mergeCell ref="T44:T45"/>
    <mergeCell ref="U44:U45"/>
    <mergeCell ref="U47:U48"/>
    <mergeCell ref="T50:T51"/>
    <mergeCell ref="T47:T48"/>
    <mergeCell ref="U41:U42"/>
    <mergeCell ref="AN7:AN8"/>
    <mergeCell ref="AO7:AO8"/>
    <mergeCell ref="AP7:AP8"/>
    <mergeCell ref="AQ7:AQ8"/>
    <mergeCell ref="AR7:AR8"/>
    <mergeCell ref="AS7:AS8"/>
    <mergeCell ref="AT7:AT8"/>
    <mergeCell ref="AU7:AU8"/>
    <mergeCell ref="T20:T21"/>
    <mergeCell ref="U20:U21"/>
    <mergeCell ref="T14:T18"/>
    <mergeCell ref="T10:T11"/>
    <mergeCell ref="U10:U11"/>
    <mergeCell ref="T109:T110"/>
    <mergeCell ref="A13:AU13"/>
    <mergeCell ref="A4:AU4"/>
    <mergeCell ref="A19:AU19"/>
    <mergeCell ref="A2:A3"/>
    <mergeCell ref="B2:B3"/>
    <mergeCell ref="U109:U110"/>
    <mergeCell ref="AN109:AN110"/>
    <mergeCell ref="AO109:AO110"/>
    <mergeCell ref="AP109:AP110"/>
    <mergeCell ref="AQ109:AQ110"/>
    <mergeCell ref="AR109:AR110"/>
    <mergeCell ref="AS109:AS110"/>
    <mergeCell ref="AT109:AT110"/>
    <mergeCell ref="AU109:AU110"/>
    <mergeCell ref="AN10:AN11"/>
    <mergeCell ref="AO10:AO11"/>
    <mergeCell ref="AP10:AP11"/>
    <mergeCell ref="AQ10:AQ11"/>
    <mergeCell ref="AR10:AR11"/>
    <mergeCell ref="AS10:AS11"/>
    <mergeCell ref="AT10:AT11"/>
    <mergeCell ref="AU10:AU11"/>
    <mergeCell ref="AN2:AU2"/>
    <mergeCell ref="A32:A33"/>
    <mergeCell ref="A35:A36"/>
    <mergeCell ref="A38:A39"/>
    <mergeCell ref="A41:A42"/>
    <mergeCell ref="A44:A45"/>
    <mergeCell ref="A47:A48"/>
    <mergeCell ref="A50:A51"/>
    <mergeCell ref="A53:A54"/>
    <mergeCell ref="A56:A57"/>
    <mergeCell ref="AN26:AN27"/>
    <mergeCell ref="AO26:AO27"/>
    <mergeCell ref="AP26:AP27"/>
    <mergeCell ref="AQ26:AQ27"/>
    <mergeCell ref="AR26:AR27"/>
    <mergeCell ref="AS26:AS27"/>
    <mergeCell ref="AT26:AT27"/>
    <mergeCell ref="AN62:AN63"/>
    <mergeCell ref="U62:U63"/>
    <mergeCell ref="AO62:AO63"/>
    <mergeCell ref="AP62:AP63"/>
    <mergeCell ref="AQ62:AQ63"/>
    <mergeCell ref="AR62:AR63"/>
    <mergeCell ref="AS62:AS63"/>
    <mergeCell ref="AT62:AT63"/>
    <mergeCell ref="U50:U51"/>
    <mergeCell ref="AQ44:AQ45"/>
    <mergeCell ref="AR44:AR45"/>
    <mergeCell ref="AS44:AS45"/>
    <mergeCell ref="AT44:AT45"/>
    <mergeCell ref="AN41:AN42"/>
    <mergeCell ref="AO41:AO42"/>
    <mergeCell ref="AP41:AP42"/>
    <mergeCell ref="AQ41:AQ42"/>
    <mergeCell ref="T83:T84"/>
    <mergeCell ref="AU62:AU63"/>
    <mergeCell ref="AT59:AT60"/>
    <mergeCell ref="AU59:AU60"/>
    <mergeCell ref="AN68:AN69"/>
    <mergeCell ref="AO68:AO69"/>
    <mergeCell ref="AP68:AP69"/>
    <mergeCell ref="AQ68:AQ69"/>
    <mergeCell ref="AR68:AR69"/>
    <mergeCell ref="AS68:AS69"/>
    <mergeCell ref="AT68:AT69"/>
    <mergeCell ref="AO65:AO66"/>
    <mergeCell ref="AP65:AP66"/>
    <mergeCell ref="AQ65:AQ66"/>
    <mergeCell ref="AR65:AR66"/>
    <mergeCell ref="AS65:AS66"/>
    <mergeCell ref="AT65:AT66"/>
    <mergeCell ref="AS59:AS60"/>
    <mergeCell ref="AU77:AU78"/>
    <mergeCell ref="T80:T81"/>
    <mergeCell ref="U80:U81"/>
    <mergeCell ref="AN80:AN81"/>
    <mergeCell ref="AO80:AO81"/>
    <mergeCell ref="AP80:AP81"/>
    <mergeCell ref="A59:A60"/>
    <mergeCell ref="A62:A63"/>
    <mergeCell ref="U65:U66"/>
    <mergeCell ref="T68:T69"/>
    <mergeCell ref="U68:U69"/>
    <mergeCell ref="A65:A66"/>
    <mergeCell ref="A68:A69"/>
    <mergeCell ref="T77:T78"/>
    <mergeCell ref="U77:U78"/>
    <mergeCell ref="AS101:AS102"/>
    <mergeCell ref="AN95:AN96"/>
    <mergeCell ref="AO95:AO96"/>
    <mergeCell ref="AP95:AP96"/>
    <mergeCell ref="AQ95:AQ96"/>
    <mergeCell ref="AR95:AR96"/>
    <mergeCell ref="AS95:AS96"/>
    <mergeCell ref="AT95:AT96"/>
    <mergeCell ref="AN74:AN75"/>
    <mergeCell ref="AO74:AO75"/>
    <mergeCell ref="AT101:AT102"/>
    <mergeCell ref="AO92:AO93"/>
    <mergeCell ref="AP92:AP93"/>
    <mergeCell ref="AQ92:AQ93"/>
    <mergeCell ref="AR92:AR93"/>
    <mergeCell ref="AS92:AS93"/>
    <mergeCell ref="AT92:AT93"/>
    <mergeCell ref="AN77:AN78"/>
    <mergeCell ref="AO77:AO78"/>
    <mergeCell ref="AP77:AP78"/>
    <mergeCell ref="AQ77:AQ78"/>
    <mergeCell ref="AR77:AR78"/>
    <mergeCell ref="AS77:AS78"/>
    <mergeCell ref="AT77:AT78"/>
    <mergeCell ref="A115:AU115"/>
    <mergeCell ref="AO104:AO105"/>
    <mergeCell ref="AP104:AP105"/>
    <mergeCell ref="AQ104:AQ105"/>
    <mergeCell ref="AR104:AR105"/>
    <mergeCell ref="AS104:AS105"/>
    <mergeCell ref="AT104:AT105"/>
    <mergeCell ref="AU26:AU27"/>
    <mergeCell ref="AO98:AO99"/>
    <mergeCell ref="AP98:AP99"/>
    <mergeCell ref="AQ98:AQ99"/>
    <mergeCell ref="AR98:AR99"/>
    <mergeCell ref="AS98:AS99"/>
    <mergeCell ref="AT98:AT99"/>
    <mergeCell ref="AO71:AO72"/>
    <mergeCell ref="AP71:AP72"/>
    <mergeCell ref="AQ71:AQ72"/>
    <mergeCell ref="AR71:AR72"/>
    <mergeCell ref="AS71:AS72"/>
    <mergeCell ref="AT71:AT72"/>
    <mergeCell ref="AS41:AS42"/>
    <mergeCell ref="AT41:AT42"/>
    <mergeCell ref="AS47:AS48"/>
    <mergeCell ref="AR101:AR102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ake_json_wifi_settings">
                <anchor moveWithCells="1" sizeWithCells="1">
                  <from>
                    <xdr:col>36</xdr:col>
                    <xdr:colOff>482600</xdr:colOff>
                    <xdr:row>1</xdr:row>
                    <xdr:rowOff>114300</xdr:rowOff>
                  </from>
                  <to>
                    <xdr:col>38</xdr:col>
                    <xdr:colOff>304800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ke_json_bluetooth_settings">
                <anchor moveWithCells="1" sizeWithCells="1">
                  <from>
                    <xdr:col>26</xdr:col>
                    <xdr:colOff>292100</xdr:colOff>
                    <xdr:row>1</xdr:row>
                    <xdr:rowOff>76200</xdr:rowOff>
                  </from>
                  <to>
                    <xdr:col>29</xdr:col>
                    <xdr:colOff>355600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ake_json_area_settings">
                <anchor moveWithCells="1" sizeWithCells="1">
                  <from>
                    <xdr:col>45</xdr:col>
                    <xdr:colOff>0</xdr:colOff>
                    <xdr:row>1</xdr:row>
                    <xdr:rowOff>76200</xdr:rowOff>
                  </from>
                  <to>
                    <xdr:col>46</xdr:col>
                    <xdr:colOff>355600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call_all_make_json">
                <anchor moveWithCells="1" sizeWithCells="1">
                  <from>
                    <xdr:col>19</xdr:col>
                    <xdr:colOff>330200</xdr:colOff>
                    <xdr:row>1</xdr:row>
                    <xdr:rowOff>50800</xdr:rowOff>
                  </from>
                  <to>
                    <xdr:col>20</xdr:col>
                    <xdr:colOff>609600</xdr:colOff>
                    <xdr:row>1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2:AD53"/>
  <sheetViews>
    <sheetView zoomScaleNormal="100" workbookViewId="0">
      <selection activeCell="R15" sqref="R15:R16"/>
    </sheetView>
  </sheetViews>
  <sheetFormatPr baseColWidth="10" defaultColWidth="8.83203125" defaultRowHeight="18"/>
  <cols>
    <col min="1" max="1" width="4.6640625" customWidth="1"/>
    <col min="2" max="2" width="9.1640625" customWidth="1"/>
    <col min="3" max="3" width="15.1640625" customWidth="1"/>
    <col min="4" max="4" width="13.1640625" customWidth="1"/>
    <col min="5" max="5" width="16.6640625" customWidth="1"/>
    <col min="6" max="6" width="20.1640625" customWidth="1"/>
    <col min="7" max="7" width="16.5" customWidth="1"/>
    <col min="8" max="8" width="12.6640625" hidden="1" customWidth="1"/>
    <col min="9" max="9" width="16.6640625" style="13" hidden="1" customWidth="1"/>
    <col min="10" max="10" width="14.5" customWidth="1"/>
    <col min="11" max="11" width="13.83203125" hidden="1" customWidth="1"/>
    <col min="12" max="12" width="14.83203125" style="13" hidden="1" customWidth="1"/>
    <col min="13" max="13" width="15.6640625" hidden="1" customWidth="1"/>
    <col min="14" max="14" width="15.6640625" style="22" customWidth="1"/>
    <col min="15" max="16" width="15.6640625" customWidth="1"/>
    <col min="17" max="17" width="9.1640625" customWidth="1"/>
    <col min="18" max="19" width="7.83203125" style="15" customWidth="1"/>
    <col min="20" max="20" width="12.1640625" customWidth="1"/>
    <col min="21" max="22" width="14.6640625" customWidth="1"/>
    <col min="23" max="23" width="12.6640625" customWidth="1"/>
    <col min="24" max="24" width="16.1640625" hidden="1" customWidth="1"/>
    <col min="25" max="25" width="13.1640625" style="13" hidden="1" customWidth="1"/>
    <col min="26" max="26" width="12.6640625" customWidth="1"/>
    <col min="27" max="27" width="18.83203125" hidden="1" customWidth="1"/>
    <col min="28" max="28" width="19.5" style="13" hidden="1" customWidth="1"/>
  </cols>
  <sheetData>
    <row r="2" spans="1:30" ht="20.25" customHeight="1">
      <c r="A2" s="442" t="s">
        <v>207</v>
      </c>
      <c r="B2" s="449" t="s">
        <v>278</v>
      </c>
      <c r="C2" s="444" t="s">
        <v>10</v>
      </c>
      <c r="D2" s="444" t="s">
        <v>4</v>
      </c>
      <c r="E2" s="444" t="s">
        <v>3</v>
      </c>
      <c r="F2" s="444" t="s">
        <v>208</v>
      </c>
      <c r="G2" s="440" t="s">
        <v>7</v>
      </c>
      <c r="H2" s="441"/>
      <c r="I2" s="441"/>
      <c r="J2" s="441"/>
      <c r="K2" s="441"/>
      <c r="L2" s="445"/>
      <c r="Q2" t="s">
        <v>60</v>
      </c>
    </row>
    <row r="3" spans="1:30" ht="36" customHeight="1">
      <c r="A3" s="443"/>
      <c r="B3" s="450"/>
      <c r="C3" s="444"/>
      <c r="D3" s="444"/>
      <c r="E3" s="444"/>
      <c r="F3" s="444"/>
      <c r="G3" s="40" t="s">
        <v>209</v>
      </c>
      <c r="H3" s="40" t="s">
        <v>210</v>
      </c>
      <c r="I3" s="40" t="s">
        <v>211</v>
      </c>
      <c r="J3" s="41" t="s">
        <v>212</v>
      </c>
      <c r="K3" s="42" t="s">
        <v>28</v>
      </c>
      <c r="L3" s="41" t="s">
        <v>213</v>
      </c>
      <c r="Q3" s="6" t="s">
        <v>59</v>
      </c>
      <c r="R3" s="16" t="s">
        <v>214</v>
      </c>
      <c r="S3" s="16" t="s">
        <v>278</v>
      </c>
      <c r="T3" s="6"/>
      <c r="U3" s="43" t="s">
        <v>215</v>
      </c>
      <c r="V3" s="43" t="s">
        <v>216</v>
      </c>
      <c r="W3" s="7" t="s">
        <v>5</v>
      </c>
      <c r="X3" s="211" t="s">
        <v>217</v>
      </c>
      <c r="Y3" s="7" t="s">
        <v>218</v>
      </c>
      <c r="Z3" s="7" t="s">
        <v>6</v>
      </c>
      <c r="AA3" s="3" t="s">
        <v>28</v>
      </c>
      <c r="AB3" s="211" t="s">
        <v>28</v>
      </c>
    </row>
    <row r="4" spans="1:30">
      <c r="A4" s="446" t="s">
        <v>0</v>
      </c>
      <c r="B4" s="447"/>
      <c r="C4" s="447"/>
      <c r="D4" s="447"/>
      <c r="E4" s="447"/>
      <c r="F4" s="448"/>
      <c r="G4" s="44"/>
      <c r="H4" s="44"/>
      <c r="I4" s="44"/>
      <c r="J4" s="45"/>
      <c r="K4" s="42"/>
      <c r="L4" s="7"/>
      <c r="Q4" s="440" t="s">
        <v>0</v>
      </c>
      <c r="R4" s="441"/>
      <c r="S4" s="441"/>
      <c r="T4" s="441"/>
      <c r="U4" s="441"/>
      <c r="V4" s="445"/>
      <c r="W4" s="46"/>
      <c r="X4" s="46"/>
      <c r="Y4" s="46"/>
      <c r="Z4" s="46"/>
      <c r="AA4" s="2"/>
      <c r="AB4" s="2"/>
    </row>
    <row r="5" spans="1:30">
      <c r="A5" s="1">
        <v>1</v>
      </c>
      <c r="B5" s="1"/>
      <c r="C5" s="1">
        <v>8</v>
      </c>
      <c r="D5" s="1">
        <v>0</v>
      </c>
      <c r="E5" s="191">
        <v>106</v>
      </c>
      <c r="F5" s="191" t="s">
        <v>219</v>
      </c>
      <c r="G5" s="8">
        <v>58966.585840452462</v>
      </c>
      <c r="H5" s="8">
        <f>G5*1000</f>
        <v>58966585.840452462</v>
      </c>
      <c r="I5" s="8">
        <v>58970128</v>
      </c>
      <c r="J5" s="8">
        <v>-11233.265725134037</v>
      </c>
      <c r="K5" s="47">
        <f>J5*1000</f>
        <v>-11233265.725134037</v>
      </c>
      <c r="L5" s="8">
        <v>-11232214</v>
      </c>
      <c r="M5" s="12"/>
      <c r="O5" t="b">
        <f>AND(G5='20200316'!G5,J5='20200316'!J5)</f>
        <v>1</v>
      </c>
      <c r="Q5" s="6" t="s">
        <v>58</v>
      </c>
      <c r="R5" s="11">
        <v>2</v>
      </c>
      <c r="S5" s="11"/>
      <c r="T5" s="6"/>
      <c r="U5" s="6">
        <v>3</v>
      </c>
      <c r="V5" s="6">
        <v>0</v>
      </c>
      <c r="W5" s="6">
        <v>58968.021898983963</v>
      </c>
      <c r="X5" s="8">
        <f t="shared" ref="X5:X12" si="0">W5*1000</f>
        <v>58968021.898983963</v>
      </c>
      <c r="Y5" s="6">
        <v>58968021.898984</v>
      </c>
      <c r="Z5" s="6">
        <v>-11238.055626654561</v>
      </c>
      <c r="AA5" s="2">
        <f>Z5*1000</f>
        <v>-11238055.626654562</v>
      </c>
      <c r="AB5" s="210">
        <v>-11238055.626654601</v>
      </c>
      <c r="AD5" t="b">
        <f>AND(W5='20200316'!V5,Z5='20200316'!Y5)</f>
        <v>1</v>
      </c>
    </row>
    <row r="6" spans="1:30">
      <c r="A6" s="1">
        <v>2</v>
      </c>
      <c r="B6" s="1"/>
      <c r="C6" s="5">
        <v>106.43</v>
      </c>
      <c r="D6" s="1">
        <v>0</v>
      </c>
      <c r="E6" s="191">
        <v>107</v>
      </c>
      <c r="F6" s="191" t="s">
        <v>220</v>
      </c>
      <c r="G6" s="8">
        <v>58942.998156967798</v>
      </c>
      <c r="H6" s="8">
        <f t="shared" ref="H6:H23" si="1">G6*1000</f>
        <v>58942998.156967796</v>
      </c>
      <c r="I6" s="8">
        <v>58946695.038094319</v>
      </c>
      <c r="J6" s="8">
        <v>-11138.10792448207</v>
      </c>
      <c r="K6" s="47">
        <f t="shared" ref="K6:K25" si="2">J6*1000</f>
        <v>-11138107.92448207</v>
      </c>
      <c r="L6" s="8">
        <v>-11138259.812389489</v>
      </c>
      <c r="M6" s="12"/>
      <c r="O6" t="b">
        <f>AND(G6='20200316'!G6,J6='20200316'!J6)</f>
        <v>1</v>
      </c>
      <c r="Q6" s="6" t="s">
        <v>58</v>
      </c>
      <c r="R6" s="11">
        <v>3</v>
      </c>
      <c r="S6" s="11"/>
      <c r="T6" s="6"/>
      <c r="U6" s="6">
        <v>50</v>
      </c>
      <c r="V6" s="6">
        <v>0</v>
      </c>
      <c r="W6" s="6">
        <v>58954.524256357268</v>
      </c>
      <c r="X6" s="8">
        <f t="shared" si="0"/>
        <v>58954524.256357267</v>
      </c>
      <c r="Y6" s="6">
        <v>58954524.256357267</v>
      </c>
      <c r="Z6" s="6">
        <v>-11193.034913694115</v>
      </c>
      <c r="AA6" s="2">
        <f t="shared" ref="AA6:AA47" si="3">Z6*1000</f>
        <v>-11193034.913694115</v>
      </c>
      <c r="AB6" s="210">
        <v>-11193034.913694115</v>
      </c>
      <c r="AD6" t="b">
        <f>AND(W6='20200316'!V6,Z6='20200316'!Y6)</f>
        <v>1</v>
      </c>
    </row>
    <row r="7" spans="1:30">
      <c r="A7" s="1">
        <v>3</v>
      </c>
      <c r="B7" s="1"/>
      <c r="C7" s="1">
        <v>202</v>
      </c>
      <c r="D7" s="1">
        <v>0</v>
      </c>
      <c r="E7" s="191">
        <v>104</v>
      </c>
      <c r="F7" s="191" t="s">
        <v>221</v>
      </c>
      <c r="G7" s="8">
        <v>58992.690101171218</v>
      </c>
      <c r="H7" s="8">
        <f t="shared" si="1"/>
        <v>58992690.101171218</v>
      </c>
      <c r="I7" s="8">
        <v>58994468.186725363</v>
      </c>
      <c r="J7" s="8">
        <v>-11061.503556133657</v>
      </c>
      <c r="K7" s="47">
        <f t="shared" si="2"/>
        <v>-11061503.556133658</v>
      </c>
      <c r="L7" s="8">
        <v>-11064748.30755128</v>
      </c>
      <c r="M7" s="12"/>
      <c r="O7" t="b">
        <f>AND(G7='20200316'!G7,J7='20200316'!J7)</f>
        <v>1</v>
      </c>
      <c r="Q7" s="6" t="s">
        <v>57</v>
      </c>
      <c r="R7" s="11">
        <v>4</v>
      </c>
      <c r="S7" s="11"/>
      <c r="T7" s="6"/>
      <c r="U7" s="6">
        <v>50</v>
      </c>
      <c r="V7" s="6">
        <v>0</v>
      </c>
      <c r="W7" s="6">
        <v>58954.524256357268</v>
      </c>
      <c r="X7" s="8">
        <f t="shared" si="0"/>
        <v>58954524.256357267</v>
      </c>
      <c r="Y7" s="6">
        <v>58954524.256357267</v>
      </c>
      <c r="Z7" s="6">
        <v>-11193.034913694115</v>
      </c>
      <c r="AA7" s="2">
        <f t="shared" si="3"/>
        <v>-11193034.913694115</v>
      </c>
      <c r="AB7" s="210">
        <v>-11193034.913694115</v>
      </c>
      <c r="AD7" t="b">
        <f>AND(W7='20200316'!V7,Z7='20200316'!Y7)</f>
        <v>1</v>
      </c>
    </row>
    <row r="8" spans="1:30">
      <c r="A8" s="6">
        <v>4</v>
      </c>
      <c r="B8" s="6"/>
      <c r="C8" s="6">
        <v>225</v>
      </c>
      <c r="D8" s="6">
        <v>0</v>
      </c>
      <c r="E8" s="7">
        <v>108</v>
      </c>
      <c r="F8" s="7" t="s">
        <v>222</v>
      </c>
      <c r="G8" s="8">
        <v>59012.726039425717</v>
      </c>
      <c r="H8" s="8">
        <f t="shared" si="1"/>
        <v>59012726.039425716</v>
      </c>
      <c r="I8" s="8">
        <v>59015032.745009467</v>
      </c>
      <c r="J8" s="8">
        <v>-11050.524097990725</v>
      </c>
      <c r="K8" s="47">
        <f t="shared" si="2"/>
        <v>-11050524.097990725</v>
      </c>
      <c r="L8" s="8">
        <v>-11054733.505235206</v>
      </c>
      <c r="M8" s="12"/>
      <c r="N8" s="48" t="s">
        <v>65</v>
      </c>
      <c r="O8" t="b">
        <f>AND(G8='20200316'!G8,J8='20200316'!J8)</f>
        <v>1</v>
      </c>
      <c r="Q8" s="6" t="s">
        <v>58</v>
      </c>
      <c r="R8" s="11">
        <v>5</v>
      </c>
      <c r="S8" s="11"/>
      <c r="T8" s="6"/>
      <c r="U8" s="6">
        <v>150.30000000000001</v>
      </c>
      <c r="V8" s="6">
        <v>0</v>
      </c>
      <c r="W8" s="6">
        <v>58955.289173639314</v>
      </c>
      <c r="X8" s="8">
        <f t="shared" si="0"/>
        <v>58955289.173639312</v>
      </c>
      <c r="Y8" s="6">
        <v>58955289.173639297</v>
      </c>
      <c r="Z8" s="6">
        <v>-11096.340970869365</v>
      </c>
      <c r="AA8" s="2">
        <f t="shared" si="3"/>
        <v>-11096340.970869366</v>
      </c>
      <c r="AB8" s="210">
        <v>-11096340.9708694</v>
      </c>
      <c r="AD8" t="b">
        <f>AND(W8='20200316'!V8,Z8='20200316'!Y8)</f>
        <v>1</v>
      </c>
    </row>
    <row r="9" spans="1:30">
      <c r="A9" s="446" t="s">
        <v>8</v>
      </c>
      <c r="B9" s="447"/>
      <c r="C9" s="447"/>
      <c r="D9" s="447"/>
      <c r="E9" s="447"/>
      <c r="F9" s="448"/>
      <c r="G9" s="46"/>
      <c r="H9" s="46"/>
      <c r="I9" s="46"/>
      <c r="J9" s="46"/>
      <c r="K9" s="47">
        <f t="shared" si="2"/>
        <v>0</v>
      </c>
      <c r="L9" s="7"/>
      <c r="Q9" s="6" t="s">
        <v>57</v>
      </c>
      <c r="R9" s="11">
        <v>6</v>
      </c>
      <c r="S9" s="11"/>
      <c r="T9" s="6"/>
      <c r="U9" s="6">
        <v>150.30000000000001</v>
      </c>
      <c r="V9" s="6">
        <v>0</v>
      </c>
      <c r="W9" s="6">
        <v>58955.289173639314</v>
      </c>
      <c r="X9" s="8">
        <f t="shared" si="0"/>
        <v>58955289.173639312</v>
      </c>
      <c r="Y9" s="6">
        <v>58955289.173639312</v>
      </c>
      <c r="Z9" s="6">
        <v>-11096.340970869365</v>
      </c>
      <c r="AA9" s="2">
        <f t="shared" si="3"/>
        <v>-11096340.970869366</v>
      </c>
      <c r="AB9" s="210">
        <v>-11096340.970869366</v>
      </c>
      <c r="AD9" t="b">
        <f>AND(W9='20200316'!V9,Z9='20200316'!Y9)</f>
        <v>1</v>
      </c>
    </row>
    <row r="10" spans="1:30">
      <c r="A10" s="9">
        <v>13</v>
      </c>
      <c r="B10" s="9"/>
      <c r="C10" s="9">
        <v>337</v>
      </c>
      <c r="D10" s="9">
        <v>0</v>
      </c>
      <c r="E10" s="191">
        <v>119</v>
      </c>
      <c r="F10" s="191" t="s">
        <v>223</v>
      </c>
      <c r="G10" s="49">
        <v>59070.092003400001</v>
      </c>
      <c r="H10" s="8">
        <f>G10*1000</f>
        <v>59070092.003399998</v>
      </c>
      <c r="I10" s="8">
        <v>59070092.003399998</v>
      </c>
      <c r="J10" s="49">
        <v>-11142.187622699999</v>
      </c>
      <c r="K10" s="47">
        <f>J10*1000</f>
        <v>-11142187.6227</v>
      </c>
      <c r="L10" s="49">
        <v>-11142187.6227</v>
      </c>
      <c r="M10" s="14"/>
      <c r="O10" t="b">
        <f>AND(G10='20200316'!G10,J10='20200316'!J10)</f>
        <v>1</v>
      </c>
      <c r="Q10" s="6" t="s">
        <v>58</v>
      </c>
      <c r="R10" s="11">
        <v>7</v>
      </c>
      <c r="S10" s="11"/>
      <c r="T10" s="6"/>
      <c r="U10" s="6">
        <v>222.6</v>
      </c>
      <c r="V10" s="6">
        <v>0</v>
      </c>
      <c r="W10" s="6">
        <v>59010.755473928781</v>
      </c>
      <c r="X10" s="8">
        <f t="shared" si="0"/>
        <v>59010755.473928779</v>
      </c>
      <c r="Y10" s="6">
        <v>59010755.473928802</v>
      </c>
      <c r="Z10" s="6">
        <v>-11051.60394467006</v>
      </c>
      <c r="AA10" s="2">
        <f t="shared" si="3"/>
        <v>-11051603.944670059</v>
      </c>
      <c r="AB10" s="210">
        <v>-11051603.9446701</v>
      </c>
      <c r="AD10" t="b">
        <f>AND(W10='20200316'!V10,Z10='20200316'!Y10)</f>
        <v>1</v>
      </c>
    </row>
    <row r="11" spans="1:30">
      <c r="A11" s="9">
        <v>19</v>
      </c>
      <c r="B11" s="9"/>
      <c r="C11" s="9">
        <v>424.6</v>
      </c>
      <c r="D11" s="9">
        <v>0</v>
      </c>
      <c r="E11" s="191">
        <v>123</v>
      </c>
      <c r="F11" s="191" t="s">
        <v>224</v>
      </c>
      <c r="G11" s="49">
        <v>59117.497212567498</v>
      </c>
      <c r="H11" s="8">
        <f t="shared" ref="H11:H12" si="4">G11*1000</f>
        <v>59117497.212567501</v>
      </c>
      <c r="I11" s="8">
        <v>59117497.212567501</v>
      </c>
      <c r="J11" s="49">
        <v>-11226.355940277432</v>
      </c>
      <c r="K11" s="47">
        <f t="shared" ref="K11:K12" si="5">J11*1000</f>
        <v>-11226355.940277431</v>
      </c>
      <c r="L11" s="49">
        <v>-11226355.940277431</v>
      </c>
      <c r="M11" s="14"/>
      <c r="O11" t="b">
        <f>AND(G11='20200316'!G11,J11='20200316'!J11)</f>
        <v>1</v>
      </c>
      <c r="Q11" s="6"/>
      <c r="R11" s="11"/>
      <c r="S11" s="11"/>
      <c r="T11" s="6"/>
      <c r="U11" s="6"/>
      <c r="V11" s="6"/>
      <c r="W11" s="6"/>
      <c r="X11" s="8"/>
      <c r="Y11" s="6">
        <v>0</v>
      </c>
      <c r="Z11" s="6"/>
      <c r="AA11" s="2"/>
      <c r="AB11" s="210">
        <v>0</v>
      </c>
    </row>
    <row r="12" spans="1:30" s="13" customFormat="1" ht="18" customHeight="1">
      <c r="A12" s="11">
        <v>5</v>
      </c>
      <c r="B12" s="11"/>
      <c r="C12" s="6">
        <v>523</v>
      </c>
      <c r="D12" s="6">
        <v>0</v>
      </c>
      <c r="E12" s="7">
        <v>109</v>
      </c>
      <c r="F12" s="7" t="s">
        <v>235</v>
      </c>
      <c r="G12" s="8">
        <v>59165.786347636094</v>
      </c>
      <c r="H12" s="8">
        <f t="shared" si="4"/>
        <v>59165786.347636096</v>
      </c>
      <c r="I12" s="8">
        <v>59129962.090928704</v>
      </c>
      <c r="J12" s="8">
        <v>-11312.092276998374</v>
      </c>
      <c r="K12" s="47">
        <f t="shared" si="5"/>
        <v>-11312092.276998373</v>
      </c>
      <c r="L12" s="206">
        <v>-11312.092276998374</v>
      </c>
      <c r="M12" s="14"/>
      <c r="N12" s="22"/>
      <c r="O12" t="b">
        <f>AND(G12='20200316'!G12,J12='20200316'!J12)</f>
        <v>1</v>
      </c>
      <c r="P12" s="22"/>
      <c r="Q12" s="6" t="s">
        <v>57</v>
      </c>
      <c r="R12" s="6">
        <v>8</v>
      </c>
      <c r="S12" s="6"/>
      <c r="T12" s="6"/>
      <c r="U12" s="6">
        <v>222.6</v>
      </c>
      <c r="V12" s="6">
        <v>0</v>
      </c>
      <c r="W12" s="6">
        <v>59010.755473928781</v>
      </c>
      <c r="X12" s="8">
        <f t="shared" si="0"/>
        <v>59010755.473928779</v>
      </c>
      <c r="Y12" s="6">
        <v>59010755.473928779</v>
      </c>
      <c r="Z12" s="6">
        <v>-11051.60394467006</v>
      </c>
      <c r="AA12" s="2">
        <f t="shared" si="3"/>
        <v>-11051603.944670059</v>
      </c>
      <c r="AB12" s="210">
        <v>-11051603.944670059</v>
      </c>
      <c r="AD12" t="b">
        <f>AND(W12='20200316'!V12,Z12='20200316'!Y12)</f>
        <v>1</v>
      </c>
    </row>
    <row r="13" spans="1:30">
      <c r="A13" s="446" t="s">
        <v>9</v>
      </c>
      <c r="B13" s="447"/>
      <c r="C13" s="447"/>
      <c r="D13" s="447"/>
      <c r="E13" s="447"/>
      <c r="F13" s="448"/>
      <c r="G13" s="46"/>
      <c r="H13" s="46"/>
      <c r="I13" s="46"/>
      <c r="J13" s="46"/>
      <c r="K13" s="47">
        <f t="shared" si="2"/>
        <v>0</v>
      </c>
      <c r="L13" s="7"/>
      <c r="Q13" s="440" t="s">
        <v>30</v>
      </c>
      <c r="R13" s="441"/>
      <c r="S13" s="441"/>
      <c r="T13" s="441"/>
      <c r="U13" s="441"/>
      <c r="V13" s="441"/>
      <c r="W13" s="44"/>
      <c r="X13" s="44"/>
      <c r="Y13" s="44">
        <v>0</v>
      </c>
      <c r="Z13" s="45"/>
      <c r="AA13" s="2">
        <f t="shared" si="3"/>
        <v>0</v>
      </c>
      <c r="AB13" s="210">
        <v>0</v>
      </c>
    </row>
    <row r="14" spans="1:30">
      <c r="A14" s="9">
        <v>6</v>
      </c>
      <c r="B14" s="9"/>
      <c r="C14" s="1">
        <f>225+83.9</f>
        <v>308.89999999999998</v>
      </c>
      <c r="D14" s="1">
        <v>0</v>
      </c>
      <c r="E14" s="191">
        <v>110</v>
      </c>
      <c r="F14" s="191" t="s">
        <v>225</v>
      </c>
      <c r="G14" s="8">
        <v>58978.371528612799</v>
      </c>
      <c r="H14" s="8">
        <f>G14*1000</f>
        <v>58978371.5286128</v>
      </c>
      <c r="I14" s="8">
        <v>58978371.5286128</v>
      </c>
      <c r="J14" s="8">
        <v>-10979.341175396898</v>
      </c>
      <c r="K14" s="47">
        <f t="shared" si="2"/>
        <v>-10979341.175396897</v>
      </c>
      <c r="L14" s="8">
        <v>-10979341.175396897</v>
      </c>
      <c r="M14" s="14"/>
      <c r="O14" t="b">
        <f>AND(G14='20200316'!G14,J14='20200316'!J14)</f>
        <v>1</v>
      </c>
      <c r="Q14" s="6" t="s">
        <v>57</v>
      </c>
      <c r="R14" s="11" t="s">
        <v>12</v>
      </c>
      <c r="S14" s="11"/>
      <c r="T14" s="6">
        <v>10</v>
      </c>
      <c r="U14" s="6">
        <v>235</v>
      </c>
      <c r="V14" s="6">
        <v>3.7</v>
      </c>
      <c r="W14" s="6">
        <v>59017.861279899997</v>
      </c>
      <c r="X14" s="8">
        <f t="shared" ref="X14:X35" si="6">W14*1000</f>
        <v>59017861.279899999</v>
      </c>
      <c r="Y14" s="6">
        <v>59014637.454238497</v>
      </c>
      <c r="Z14" s="6">
        <v>-11041.914808399999</v>
      </c>
      <c r="AA14" s="2">
        <f t="shared" si="3"/>
        <v>-11041914.8084</v>
      </c>
      <c r="AB14" s="210">
        <v>-11041914.8084</v>
      </c>
      <c r="AD14" t="b">
        <f>AND(W14='20200316'!V14,Z14='20200316'!Y14)</f>
        <v>1</v>
      </c>
    </row>
    <row r="15" spans="1:30">
      <c r="A15" s="9">
        <v>7</v>
      </c>
      <c r="B15" s="9"/>
      <c r="C15" s="1">
        <f>225+181.9</f>
        <v>406.9</v>
      </c>
      <c r="D15" s="1">
        <v>0</v>
      </c>
      <c r="E15" s="191">
        <v>112</v>
      </c>
      <c r="F15" s="191" t="s">
        <v>226</v>
      </c>
      <c r="G15" s="8">
        <v>58929.79772970394</v>
      </c>
      <c r="H15" s="8">
        <f t="shared" si="1"/>
        <v>58929797.72970394</v>
      </c>
      <c r="I15" s="8">
        <v>58929797.729703903</v>
      </c>
      <c r="J15" s="8">
        <v>-10894.230452124972</v>
      </c>
      <c r="K15" s="47">
        <f t="shared" si="2"/>
        <v>-10894230.452124972</v>
      </c>
      <c r="L15" s="8">
        <v>-10894230.452124972</v>
      </c>
      <c r="M15" s="14"/>
      <c r="O15" t="b">
        <f>AND(G15='20200316'!G15,J15='20200316'!J15)</f>
        <v>1</v>
      </c>
      <c r="Q15" s="6" t="s">
        <v>58</v>
      </c>
      <c r="R15" s="11" t="s">
        <v>13</v>
      </c>
      <c r="S15" s="11"/>
      <c r="T15" s="6">
        <v>133.9</v>
      </c>
      <c r="U15" s="6">
        <v>358.9</v>
      </c>
      <c r="V15" s="6">
        <v>0</v>
      </c>
      <c r="W15" s="6">
        <v>58953.83436648448</v>
      </c>
      <c r="X15" s="8">
        <f t="shared" si="6"/>
        <v>58953834.366484478</v>
      </c>
      <c r="Y15" s="6">
        <v>58953834.3664845</v>
      </c>
      <c r="Z15" s="6">
        <v>-10935.775963648452</v>
      </c>
      <c r="AA15" s="2">
        <f t="shared" si="3"/>
        <v>-10935775.963648451</v>
      </c>
      <c r="AB15" s="210">
        <v>-10935775.963648451</v>
      </c>
      <c r="AD15" t="b">
        <f>AND(W15='20200316'!V15,Z15='20200316'!Y15)</f>
        <v>1</v>
      </c>
    </row>
    <row r="16" spans="1:30">
      <c r="A16" s="9">
        <v>8</v>
      </c>
      <c r="B16" s="9"/>
      <c r="C16" s="1">
        <f>225+280.7</f>
        <v>505.7</v>
      </c>
      <c r="D16" s="1">
        <v>0</v>
      </c>
      <c r="E16" s="191">
        <v>113</v>
      </c>
      <c r="F16" s="191" t="s">
        <v>227</v>
      </c>
      <c r="G16" s="8">
        <v>58875.65236107372</v>
      </c>
      <c r="H16" s="8">
        <f t="shared" si="1"/>
        <v>58875652.361073717</v>
      </c>
      <c r="I16" s="8">
        <v>58875652.361073703</v>
      </c>
      <c r="J16" s="8">
        <v>-10811.616764070099</v>
      </c>
      <c r="K16" s="47">
        <f t="shared" si="2"/>
        <v>-10811616.764070099</v>
      </c>
      <c r="L16" s="8">
        <v>-10811616.764070099</v>
      </c>
      <c r="M16" s="14"/>
      <c r="O16" t="b">
        <f>AND(G16='20200316'!G16,J16='20200316'!J16)</f>
        <v>1</v>
      </c>
      <c r="Q16" s="6" t="s">
        <v>57</v>
      </c>
      <c r="R16" s="11" t="s">
        <v>14</v>
      </c>
      <c r="S16" s="11"/>
      <c r="T16" s="6">
        <v>133.9</v>
      </c>
      <c r="U16" s="6">
        <v>358.9</v>
      </c>
      <c r="V16" s="6">
        <v>0</v>
      </c>
      <c r="W16" s="6">
        <v>58953.83436648448</v>
      </c>
      <c r="X16" s="8">
        <f t="shared" si="6"/>
        <v>58953834.366484478</v>
      </c>
      <c r="Y16" s="6">
        <v>58953834.366484478</v>
      </c>
      <c r="Z16" s="6">
        <v>-10935.775963648452</v>
      </c>
      <c r="AA16" s="2">
        <f t="shared" si="3"/>
        <v>-10935775.963648451</v>
      </c>
      <c r="AB16" s="210">
        <v>-10935775.963648451</v>
      </c>
      <c r="AD16" t="b">
        <f>AND(W16='20200316'!V16,Z16='20200316'!Y16)</f>
        <v>1</v>
      </c>
    </row>
    <row r="17" spans="1:30">
      <c r="A17" s="11">
        <v>11</v>
      </c>
      <c r="B17" s="11"/>
      <c r="C17" s="6">
        <v>599</v>
      </c>
      <c r="D17" s="6">
        <v>0</v>
      </c>
      <c r="E17" s="7">
        <v>114</v>
      </c>
      <c r="F17" s="7" t="s">
        <v>228</v>
      </c>
      <c r="G17" s="8">
        <v>58818.900329989097</v>
      </c>
      <c r="H17" s="8">
        <f t="shared" si="1"/>
        <v>58818900.329989098</v>
      </c>
      <c r="I17" s="8">
        <v>58818900.329989098</v>
      </c>
      <c r="J17" s="8">
        <v>-10737.587302610305</v>
      </c>
      <c r="K17" s="47">
        <f t="shared" si="2"/>
        <v>-10737587.302610306</v>
      </c>
      <c r="L17" s="8">
        <v>-10737587.302610306</v>
      </c>
      <c r="M17" s="14"/>
      <c r="O17" t="b">
        <f>AND(G17='20200316'!G17,J17='20200316'!J17)</f>
        <v>1</v>
      </c>
      <c r="Q17" s="6" t="s">
        <v>58</v>
      </c>
      <c r="R17" s="11" t="s">
        <v>15</v>
      </c>
      <c r="S17" s="11"/>
      <c r="T17" s="6">
        <v>233.9</v>
      </c>
      <c r="U17" s="6">
        <v>458.9</v>
      </c>
      <c r="V17" s="6">
        <v>0</v>
      </c>
      <c r="W17" s="6">
        <v>58900.913189387327</v>
      </c>
      <c r="X17" s="8">
        <f t="shared" si="6"/>
        <v>58900913.189387329</v>
      </c>
      <c r="Y17" s="6">
        <v>58900913.189387299</v>
      </c>
      <c r="Z17" s="6">
        <v>-10851.005788318649</v>
      </c>
      <c r="AA17" s="2">
        <f t="shared" si="3"/>
        <v>-10851005.788318649</v>
      </c>
      <c r="AB17" s="210">
        <v>-10851005.788318649</v>
      </c>
      <c r="AD17" t="b">
        <f>AND(W17='20200316'!V17,Z17='20200316'!Y17)</f>
        <v>1</v>
      </c>
    </row>
    <row r="18" spans="1:30" ht="19.5" customHeight="1">
      <c r="A18" s="11">
        <v>12</v>
      </c>
      <c r="B18" s="11"/>
      <c r="C18" s="6">
        <v>695</v>
      </c>
      <c r="D18" s="6">
        <v>0</v>
      </c>
      <c r="E18" s="7">
        <v>116</v>
      </c>
      <c r="F18" s="7" t="s">
        <v>229</v>
      </c>
      <c r="G18" s="8">
        <v>58755.950059605704</v>
      </c>
      <c r="H18" s="8">
        <f t="shared" si="1"/>
        <v>58755950.059605703</v>
      </c>
      <c r="I18" s="8">
        <v>58755950.059605703</v>
      </c>
      <c r="J18" s="8">
        <v>-10666.733074956403</v>
      </c>
      <c r="K18" s="47">
        <f t="shared" si="2"/>
        <v>-10666733.074956402</v>
      </c>
      <c r="L18" s="8">
        <v>-10666733.074956402</v>
      </c>
      <c r="M18" s="14"/>
      <c r="O18" t="b">
        <f>AND(G18='20200316'!G18,J18='20200316'!J18)</f>
        <v>1</v>
      </c>
      <c r="Q18" s="6" t="s">
        <v>57</v>
      </c>
      <c r="R18" s="11" t="s">
        <v>16</v>
      </c>
      <c r="S18" s="11"/>
      <c r="T18" s="6">
        <v>233.9</v>
      </c>
      <c r="U18" s="6">
        <v>458.9</v>
      </c>
      <c r="V18" s="6">
        <v>0</v>
      </c>
      <c r="W18" s="6">
        <v>58900.913189387327</v>
      </c>
      <c r="X18" s="8">
        <f t="shared" si="6"/>
        <v>58900913.189387329</v>
      </c>
      <c r="Y18" s="6">
        <v>58900913.189387329</v>
      </c>
      <c r="Z18" s="6">
        <v>-10851.005788318649</v>
      </c>
      <c r="AA18" s="2">
        <f t="shared" si="3"/>
        <v>-10851005.788318649</v>
      </c>
      <c r="AB18" s="210">
        <v>-10851005.788318649</v>
      </c>
      <c r="AD18" t="b">
        <f>AND(W18='20200316'!V18,Z18='20200316'!Y18)</f>
        <v>1</v>
      </c>
    </row>
    <row r="19" spans="1:30" ht="19.5" customHeight="1">
      <c r="A19" s="11">
        <v>14</v>
      </c>
      <c r="B19" s="11"/>
      <c r="C19" s="6">
        <v>786.2</v>
      </c>
      <c r="D19" s="6">
        <v>0</v>
      </c>
      <c r="E19" s="7">
        <v>117</v>
      </c>
      <c r="F19" s="191" t="s">
        <v>230</v>
      </c>
      <c r="G19" s="8">
        <v>58689.783644188174</v>
      </c>
      <c r="H19" s="8">
        <f t="shared" si="1"/>
        <v>58689783.644188173</v>
      </c>
      <c r="I19" s="8">
        <v>58689783.644188203</v>
      </c>
      <c r="J19" s="8">
        <v>-10602.264697207076</v>
      </c>
      <c r="K19" s="47">
        <f t="shared" si="2"/>
        <v>-10602264.697207076</v>
      </c>
      <c r="L19" s="8">
        <v>-10602264.697207101</v>
      </c>
      <c r="M19" s="14"/>
      <c r="O19" t="b">
        <f>AND(G19='20200316'!G19,J19='20200316'!J19)</f>
        <v>1</v>
      </c>
      <c r="Q19" s="6" t="s">
        <v>58</v>
      </c>
      <c r="R19" s="11" t="s">
        <v>17</v>
      </c>
      <c r="S19" s="11"/>
      <c r="T19" s="6">
        <v>329.9</v>
      </c>
      <c r="U19" s="6">
        <v>554.9</v>
      </c>
      <c r="V19" s="6">
        <v>0</v>
      </c>
      <c r="W19" s="6">
        <v>58846.387129190101</v>
      </c>
      <c r="X19" s="8">
        <f t="shared" si="6"/>
        <v>58846387.129190102</v>
      </c>
      <c r="Y19" s="6">
        <v>58846387.129190102</v>
      </c>
      <c r="Z19" s="6">
        <v>-10772.070622833242</v>
      </c>
      <c r="AA19" s="2">
        <f t="shared" si="3"/>
        <v>-10772070.622833243</v>
      </c>
      <c r="AB19" s="210">
        <v>-10772070.622833243</v>
      </c>
      <c r="AD19" t="b">
        <f>AND(W19='20200316'!V19,Z19='20200316'!Y19)</f>
        <v>1</v>
      </c>
    </row>
    <row r="20" spans="1:30" ht="19.5" customHeight="1">
      <c r="A20" s="11">
        <v>15</v>
      </c>
      <c r="B20" s="11"/>
      <c r="C20" s="6">
        <v>849</v>
      </c>
      <c r="D20" s="6">
        <v>0</v>
      </c>
      <c r="E20" s="7">
        <v>120</v>
      </c>
      <c r="F20" s="191" t="s">
        <v>231</v>
      </c>
      <c r="G20" s="8">
        <v>58642.274174639737</v>
      </c>
      <c r="H20" s="8">
        <f t="shared" si="1"/>
        <v>58642274.174639739</v>
      </c>
      <c r="I20" s="8">
        <v>58642274.174639702</v>
      </c>
      <c r="J20" s="8">
        <v>-10561.204699562193</v>
      </c>
      <c r="K20" s="47">
        <f t="shared" si="2"/>
        <v>-10561204.699562194</v>
      </c>
      <c r="L20" s="8">
        <v>-10561204.699562194</v>
      </c>
      <c r="M20" s="14"/>
      <c r="O20" t="b">
        <f>AND(G20='20200316'!G20,J20='20200316'!J20)</f>
        <v>1</v>
      </c>
      <c r="Q20" s="6" t="s">
        <v>57</v>
      </c>
      <c r="R20" s="11" t="s">
        <v>18</v>
      </c>
      <c r="S20" s="11"/>
      <c r="T20" s="6">
        <v>329.9</v>
      </c>
      <c r="U20" s="6">
        <v>554.9</v>
      </c>
      <c r="V20" s="6">
        <v>0</v>
      </c>
      <c r="W20" s="6">
        <v>58846.387129190101</v>
      </c>
      <c r="X20" s="8">
        <f t="shared" si="6"/>
        <v>58846387.129190102</v>
      </c>
      <c r="Y20" s="6">
        <v>58846387.129190102</v>
      </c>
      <c r="Z20" s="6">
        <v>-10772.070622833242</v>
      </c>
      <c r="AA20" s="2">
        <f t="shared" si="3"/>
        <v>-10772070.622833243</v>
      </c>
      <c r="AB20" s="210">
        <v>-10772070.622833243</v>
      </c>
      <c r="AD20" t="b">
        <f>AND(W20='20200316'!V20,Z20='20200316'!Y20)</f>
        <v>1</v>
      </c>
    </row>
    <row r="21" spans="1:30">
      <c r="A21" s="11">
        <v>16</v>
      </c>
      <c r="B21" s="11"/>
      <c r="C21" s="6">
        <v>949</v>
      </c>
      <c r="D21" s="6">
        <v>0</v>
      </c>
      <c r="E21" s="7">
        <v>122</v>
      </c>
      <c r="F21" s="7" t="s">
        <v>232</v>
      </c>
      <c r="G21" s="8">
        <v>58563.008280000002</v>
      </c>
      <c r="H21" s="8">
        <f t="shared" si="1"/>
        <v>58563008.280000001</v>
      </c>
      <c r="I21" s="8">
        <v>58563008.280000001</v>
      </c>
      <c r="J21" s="8">
        <v>-10500.26455</v>
      </c>
      <c r="K21" s="47">
        <f t="shared" si="2"/>
        <v>-10500264.550000001</v>
      </c>
      <c r="L21" s="8">
        <v>-10500264.550000001</v>
      </c>
      <c r="M21" s="14"/>
      <c r="O21" t="b">
        <f>AND(G21='20200316'!G21,J21='20200316'!J21)</f>
        <v>1</v>
      </c>
      <c r="Q21" s="6" t="s">
        <v>58</v>
      </c>
      <c r="R21" s="11" t="s">
        <v>19</v>
      </c>
      <c r="S21" s="11"/>
      <c r="T21" s="6">
        <v>423.2</v>
      </c>
      <c r="U21" s="6">
        <v>648.20000000000005</v>
      </c>
      <c r="V21" s="6">
        <v>0</v>
      </c>
      <c r="W21" s="6">
        <v>58786.87467551032</v>
      </c>
      <c r="X21" s="8">
        <f t="shared" si="6"/>
        <v>58786874.675510317</v>
      </c>
      <c r="Y21" s="6">
        <v>58786874.675510302</v>
      </c>
      <c r="Z21" s="6">
        <v>-10700.241505803535</v>
      </c>
      <c r="AA21" s="2">
        <f t="shared" si="3"/>
        <v>-10700241.505803535</v>
      </c>
      <c r="AB21" s="210">
        <v>-10700241.505803535</v>
      </c>
      <c r="AD21" t="b">
        <f>AND(W21='20200316'!V21,Z21='20200316'!Y21)</f>
        <v>1</v>
      </c>
    </row>
    <row r="22" spans="1:30">
      <c r="A22" s="11">
        <v>17</v>
      </c>
      <c r="B22" s="11">
        <f>C22-316</f>
        <v>722</v>
      </c>
      <c r="C22" s="6">
        <v>1038</v>
      </c>
      <c r="D22" s="6">
        <v>0</v>
      </c>
      <c r="E22" s="7">
        <v>121</v>
      </c>
      <c r="F22" s="7" t="s">
        <v>233</v>
      </c>
      <c r="G22" s="8">
        <v>58491.634284568674</v>
      </c>
      <c r="H22" s="8">
        <f t="shared" si="1"/>
        <v>58491634.284568675</v>
      </c>
      <c r="I22" s="8">
        <v>58493240.689999998</v>
      </c>
      <c r="J22" s="8">
        <v>-10447.092002568046</v>
      </c>
      <c r="K22" s="47">
        <f t="shared" si="2"/>
        <v>-10447092.002568046</v>
      </c>
      <c r="L22" s="8">
        <v>-10447092.002568046</v>
      </c>
      <c r="M22" s="14"/>
      <c r="O22" t="b">
        <f>AND(G22='20200316'!G22,J22='20200316'!J22)</f>
        <v>1</v>
      </c>
      <c r="Q22" s="6" t="s">
        <v>57</v>
      </c>
      <c r="R22" s="11" t="s">
        <v>20</v>
      </c>
      <c r="S22" s="11"/>
      <c r="T22" s="6">
        <v>423.2</v>
      </c>
      <c r="U22" s="6">
        <v>648.20000000000005</v>
      </c>
      <c r="V22" s="6">
        <v>0</v>
      </c>
      <c r="W22" s="6">
        <v>58786.87467551032</v>
      </c>
      <c r="X22" s="8">
        <f t="shared" si="6"/>
        <v>58786874.675510317</v>
      </c>
      <c r="Y22" s="6">
        <v>58786874.675510317</v>
      </c>
      <c r="Z22" s="6">
        <v>-10700.241505803535</v>
      </c>
      <c r="AA22" s="2">
        <f t="shared" si="3"/>
        <v>-10700241.505803535</v>
      </c>
      <c r="AB22" s="210">
        <v>-10700241.505803535</v>
      </c>
      <c r="AD22" t="b">
        <f>AND(W22='20200316'!V22,Z22='20200316'!Y22)</f>
        <v>1</v>
      </c>
    </row>
    <row r="23" spans="1:30">
      <c r="A23" s="11">
        <v>18</v>
      </c>
      <c r="B23" s="11">
        <f t="shared" ref="B23:B27" si="7">C23-316</f>
        <v>815</v>
      </c>
      <c r="C23" s="6">
        <v>1131</v>
      </c>
      <c r="D23" s="6">
        <v>0</v>
      </c>
      <c r="E23" s="7">
        <v>124</v>
      </c>
      <c r="F23" s="7" t="s">
        <v>234</v>
      </c>
      <c r="G23" s="8">
        <v>58417.055140310695</v>
      </c>
      <c r="H23" s="8">
        <f t="shared" si="1"/>
        <v>58417055.140310697</v>
      </c>
      <c r="I23" s="8">
        <v>58417055.140310697</v>
      </c>
      <c r="J23" s="8">
        <v>-10391.531663820451</v>
      </c>
      <c r="K23" s="47">
        <f t="shared" si="2"/>
        <v>-10391531.663820451</v>
      </c>
      <c r="L23" s="8">
        <v>-10391531.6638205</v>
      </c>
      <c r="M23" s="14"/>
      <c r="O23" t="b">
        <f>AND(G23='20200316'!G23,J23='20200316'!J23)</f>
        <v>1</v>
      </c>
      <c r="Q23" s="6"/>
      <c r="R23" s="11"/>
      <c r="S23" s="11"/>
      <c r="T23" s="6"/>
      <c r="U23" s="6"/>
      <c r="V23" s="6"/>
      <c r="W23" s="6"/>
      <c r="X23" s="8"/>
      <c r="Y23" s="6"/>
      <c r="Z23" s="6"/>
      <c r="AA23" s="2"/>
      <c r="AB23" s="210"/>
    </row>
    <row r="24" spans="1:30">
      <c r="A24" s="11">
        <v>19</v>
      </c>
      <c r="B24" s="11"/>
      <c r="C24" s="6"/>
      <c r="D24" s="6"/>
      <c r="E24" s="7"/>
      <c r="F24" s="7"/>
      <c r="G24" s="8"/>
      <c r="H24" s="8"/>
      <c r="I24" s="8"/>
      <c r="J24" s="8"/>
      <c r="K24" s="235">
        <f t="shared" si="2"/>
        <v>0</v>
      </c>
      <c r="L24" s="2">
        <v>-10374803.819896445</v>
      </c>
      <c r="Q24" s="6" t="s">
        <v>58</v>
      </c>
      <c r="R24" s="11" t="s">
        <v>21</v>
      </c>
      <c r="S24" s="11"/>
      <c r="T24" s="6">
        <v>522.79999999999995</v>
      </c>
      <c r="U24" s="6">
        <v>747.8</v>
      </c>
      <c r="V24" s="6">
        <v>0</v>
      </c>
      <c r="W24" s="6">
        <v>58717.836740127837</v>
      </c>
      <c r="X24" s="8">
        <f t="shared" si="6"/>
        <v>58717836.740127839</v>
      </c>
      <c r="Y24" s="6">
        <v>58717836.740127802</v>
      </c>
      <c r="Z24" s="6">
        <v>-10628.484472110429</v>
      </c>
      <c r="AA24" s="2">
        <f t="shared" si="3"/>
        <v>-10628484.47211043</v>
      </c>
      <c r="AB24" s="210">
        <v>-10628484.47211043</v>
      </c>
      <c r="AD24" t="b">
        <f>AND(W24='20200316'!V24,Z24='20200316'!Y24)</f>
        <v>1</v>
      </c>
    </row>
    <row r="25" spans="1:30">
      <c r="A25" s="11">
        <v>20</v>
      </c>
      <c r="B25" s="11">
        <f t="shared" si="7"/>
        <v>1010</v>
      </c>
      <c r="C25" s="6">
        <v>1326</v>
      </c>
      <c r="D25" s="6"/>
      <c r="E25" s="7">
        <v>126</v>
      </c>
      <c r="F25" s="7" t="s">
        <v>276</v>
      </c>
      <c r="G25" s="8">
        <v>58263.280813042547</v>
      </c>
      <c r="H25" s="8"/>
      <c r="I25" s="8"/>
      <c r="J25" s="8">
        <v>-10271.738402049485</v>
      </c>
      <c r="K25" s="55">
        <f t="shared" si="2"/>
        <v>-10271738.402049484</v>
      </c>
      <c r="L25" s="56"/>
      <c r="M25" s="57"/>
      <c r="N25" s="52"/>
      <c r="O25" t="b">
        <f>AND(G25='20200316'!G25,J25='20200316'!J25)</f>
        <v>0</v>
      </c>
      <c r="Q25" s="6" t="s">
        <v>57</v>
      </c>
      <c r="R25" s="11" t="s">
        <v>22</v>
      </c>
      <c r="S25" s="11"/>
      <c r="T25" s="6">
        <v>522.79999999999995</v>
      </c>
      <c r="U25" s="6">
        <v>747.8</v>
      </c>
      <c r="V25" s="6">
        <v>0</v>
      </c>
      <c r="W25" s="6">
        <v>58717.836740127837</v>
      </c>
      <c r="X25" s="8">
        <f t="shared" si="6"/>
        <v>58717836.740127839</v>
      </c>
      <c r="Y25" s="6">
        <v>58717836.740127839</v>
      </c>
      <c r="Z25" s="6">
        <v>-10628.484472110429</v>
      </c>
      <c r="AA25" s="2">
        <f t="shared" si="3"/>
        <v>-10628484.47211043</v>
      </c>
      <c r="AB25" s="210">
        <v>-10628484.47211043</v>
      </c>
      <c r="AD25" t="b">
        <f>AND(W25='20200316'!V25,Z25='20200316'!Y25)</f>
        <v>1</v>
      </c>
    </row>
    <row r="26" spans="1:30">
      <c r="A26" s="6">
        <v>21</v>
      </c>
      <c r="B26" s="11">
        <f t="shared" si="7"/>
        <v>1103</v>
      </c>
      <c r="C26" s="6">
        <v>1419</v>
      </c>
      <c r="D26" s="6"/>
      <c r="E26" s="6">
        <v>127</v>
      </c>
      <c r="F26" s="6" t="s">
        <v>277</v>
      </c>
      <c r="G26" s="6">
        <v>58196.060783727924</v>
      </c>
      <c r="H26" s="6"/>
      <c r="I26" s="6"/>
      <c r="J26" s="6">
        <v>-10207.503368610372</v>
      </c>
      <c r="O26" t="b">
        <f>AND(G26='20200316'!G26,J26='20200316'!J26)</f>
        <v>0</v>
      </c>
      <c r="Q26" s="6" t="s">
        <v>58</v>
      </c>
      <c r="R26" s="11" t="s">
        <v>23</v>
      </c>
      <c r="S26" s="11"/>
      <c r="T26" s="6">
        <v>593</v>
      </c>
      <c r="U26" s="6">
        <v>818</v>
      </c>
      <c r="V26" s="6">
        <v>0</v>
      </c>
      <c r="W26" s="6">
        <v>58665.974182938728</v>
      </c>
      <c r="X26" s="8">
        <f t="shared" si="6"/>
        <v>58665974.182938725</v>
      </c>
      <c r="Y26" s="6">
        <v>58665974.182938702</v>
      </c>
      <c r="Z26" s="6">
        <v>-10581.186292816623</v>
      </c>
      <c r="AA26" s="2">
        <f t="shared" si="3"/>
        <v>-10581186.292816622</v>
      </c>
      <c r="AB26" s="210">
        <v>-10581186.292816622</v>
      </c>
      <c r="AD26" t="b">
        <f>AND(W26='20200316'!V26,Z26='20200316'!Y26)</f>
        <v>1</v>
      </c>
    </row>
    <row r="27" spans="1:30">
      <c r="A27" s="10">
        <v>10</v>
      </c>
      <c r="B27" s="11">
        <f t="shared" si="7"/>
        <v>843</v>
      </c>
      <c r="C27" s="2">
        <v>1159</v>
      </c>
      <c r="D27" s="2">
        <v>0</v>
      </c>
      <c r="E27" s="3" t="s">
        <v>2</v>
      </c>
      <c r="F27" s="3" t="s">
        <v>11</v>
      </c>
      <c r="G27" s="4">
        <v>58394.601204405066</v>
      </c>
      <c r="H27" s="4">
        <f t="shared" ref="H27" si="8">G27*1000</f>
        <v>58394601.204405069</v>
      </c>
      <c r="I27" s="4">
        <v>58394601.204405099</v>
      </c>
      <c r="J27" s="4">
        <v>-10374.803819896444</v>
      </c>
      <c r="O27" t="b">
        <f>AND(G27='20200316'!G27,J27='20200316'!J27)</f>
        <v>0</v>
      </c>
      <c r="Q27" s="6" t="s">
        <v>57</v>
      </c>
      <c r="R27" s="11" t="s">
        <v>24</v>
      </c>
      <c r="S27" s="11"/>
      <c r="T27" s="6">
        <v>593</v>
      </c>
      <c r="U27" s="6">
        <v>818</v>
      </c>
      <c r="V27" s="6">
        <v>0</v>
      </c>
      <c r="W27" s="6">
        <v>58665.974182938728</v>
      </c>
      <c r="X27" s="8">
        <f t="shared" si="6"/>
        <v>58665974.182938725</v>
      </c>
      <c r="Y27" s="6">
        <v>58665974.182938725</v>
      </c>
      <c r="Z27" s="6">
        <v>-10581.186292816623</v>
      </c>
      <c r="AA27" s="2">
        <f t="shared" si="3"/>
        <v>-10581186.292816622</v>
      </c>
      <c r="AB27" s="210">
        <v>-10581186.292816622</v>
      </c>
      <c r="AD27" t="b">
        <f>AND(W27='20200316'!V27,Z27='20200316'!Y27)</f>
        <v>1</v>
      </c>
    </row>
    <row r="28" spans="1:30">
      <c r="Q28" s="6" t="s">
        <v>58</v>
      </c>
      <c r="R28" s="11" t="s">
        <v>25</v>
      </c>
      <c r="S28" s="11"/>
      <c r="T28" s="6">
        <v>674</v>
      </c>
      <c r="U28" s="6">
        <v>899</v>
      </c>
      <c r="V28" s="6">
        <v>0</v>
      </c>
      <c r="W28" s="6">
        <v>58603.064515916652</v>
      </c>
      <c r="X28" s="8">
        <f t="shared" si="6"/>
        <v>58603064.515916653</v>
      </c>
      <c r="Y28" s="6">
        <v>58603064.515916698</v>
      </c>
      <c r="Z28" s="6">
        <v>-10530.183827675246</v>
      </c>
      <c r="AA28" s="2">
        <f t="shared" si="3"/>
        <v>-10530183.827675246</v>
      </c>
      <c r="AB28" s="210">
        <v>-10530183.827675246</v>
      </c>
      <c r="AD28" t="b">
        <f>AND(W28='20200316'!V28,Z28='20200316'!Y28)</f>
        <v>1</v>
      </c>
    </row>
    <row r="29" spans="1:30">
      <c r="Q29" s="6" t="s">
        <v>57</v>
      </c>
      <c r="R29" s="11" t="s">
        <v>26</v>
      </c>
      <c r="S29" s="11"/>
      <c r="T29" s="6">
        <v>674</v>
      </c>
      <c r="U29" s="6">
        <v>899</v>
      </c>
      <c r="V29" s="6">
        <v>0</v>
      </c>
      <c r="W29" s="6">
        <v>58603.064515916652</v>
      </c>
      <c r="X29" s="8">
        <f t="shared" si="6"/>
        <v>58603064.515916653</v>
      </c>
      <c r="Y29" s="6">
        <v>58603064.515916653</v>
      </c>
      <c r="Z29" s="6">
        <v>-10530.183827675246</v>
      </c>
      <c r="AA29" s="2">
        <f t="shared" si="3"/>
        <v>-10530183.827675246</v>
      </c>
      <c r="AB29" s="210">
        <v>-10530183.827675246</v>
      </c>
      <c r="AD29" t="b">
        <f>AND(W29='20200316'!V29,Z29='20200316'!Y29)</f>
        <v>1</v>
      </c>
    </row>
    <row r="30" spans="1:30">
      <c r="Q30" s="6" t="s">
        <v>58</v>
      </c>
      <c r="R30" s="11">
        <v>27</v>
      </c>
      <c r="S30" s="11"/>
      <c r="T30" s="6">
        <f>U30-225</f>
        <v>769</v>
      </c>
      <c r="U30" s="6">
        <v>994</v>
      </c>
      <c r="V30" s="6">
        <v>0</v>
      </c>
      <c r="W30" s="6">
        <v>58526.919040991808</v>
      </c>
      <c r="X30" s="8">
        <f t="shared" si="6"/>
        <v>58526919.040991805</v>
      </c>
      <c r="Y30" s="6">
        <v>58526919.040991798</v>
      </c>
      <c r="Z30" s="6">
        <v>-10473.378614448629</v>
      </c>
      <c r="AA30" s="2">
        <f t="shared" si="3"/>
        <v>-10473378.614448629</v>
      </c>
      <c r="AB30" s="210">
        <v>-10473378.614448629</v>
      </c>
      <c r="AD30" t="b">
        <f>AND(W30='20200316'!V30,Z30='20200316'!Y30)</f>
        <v>1</v>
      </c>
    </row>
    <row r="31" spans="1:30">
      <c r="Q31" s="6" t="s">
        <v>57</v>
      </c>
      <c r="R31" s="11">
        <v>28</v>
      </c>
      <c r="S31" s="11"/>
      <c r="T31" s="6">
        <f>U31-225</f>
        <v>769</v>
      </c>
      <c r="U31" s="6">
        <v>994</v>
      </c>
      <c r="V31" s="6">
        <v>0</v>
      </c>
      <c r="W31" s="6">
        <v>58526.919040991808</v>
      </c>
      <c r="X31" s="8">
        <f t="shared" si="6"/>
        <v>58526919.040991805</v>
      </c>
      <c r="Y31" s="6">
        <v>58526919.040991805</v>
      </c>
      <c r="Z31" s="6">
        <v>-10473.378614448629</v>
      </c>
      <c r="AA31" s="2">
        <f t="shared" si="3"/>
        <v>-10473378.614448629</v>
      </c>
      <c r="AB31" s="210">
        <v>-10473378.614448629</v>
      </c>
      <c r="AD31" t="b">
        <f>AND(W31='20200316'!V31,Z31='20200316'!Y31)</f>
        <v>1</v>
      </c>
    </row>
    <row r="32" spans="1:30">
      <c r="Q32" s="6" t="s">
        <v>58</v>
      </c>
      <c r="R32" s="11">
        <v>29</v>
      </c>
      <c r="S32" s="11">
        <f>T32-91</f>
        <v>769</v>
      </c>
      <c r="T32" s="6">
        <f t="shared" ref="T32:T33" si="9">U32-225</f>
        <v>860</v>
      </c>
      <c r="U32" s="6">
        <v>1085</v>
      </c>
      <c r="V32" s="6">
        <v>0</v>
      </c>
      <c r="W32" s="6">
        <v>58453.943749298516</v>
      </c>
      <c r="X32" s="8">
        <f t="shared" si="6"/>
        <v>58453943.749298513</v>
      </c>
      <c r="Y32" s="6">
        <v>58453943.749298513</v>
      </c>
      <c r="Z32" s="6">
        <v>-10419.013121695605</v>
      </c>
      <c r="AA32" s="2">
        <f t="shared" si="3"/>
        <v>-10419013.121695606</v>
      </c>
      <c r="AB32" s="210">
        <v>-10419013.121695606</v>
      </c>
      <c r="AD32" t="b">
        <f>AND(W32='20200316'!V32,Z32='20200316'!Y32)</f>
        <v>1</v>
      </c>
    </row>
    <row r="33" spans="17:30">
      <c r="Q33" s="6" t="s">
        <v>57</v>
      </c>
      <c r="R33" s="11">
        <v>30</v>
      </c>
      <c r="S33" s="11">
        <f t="shared" ref="S33:S41" si="10">T33-91</f>
        <v>769</v>
      </c>
      <c r="T33" s="6">
        <f t="shared" si="9"/>
        <v>860</v>
      </c>
      <c r="U33" s="6">
        <v>1085</v>
      </c>
      <c r="V33" s="6">
        <v>0</v>
      </c>
      <c r="W33" s="6">
        <v>58453.943749298516</v>
      </c>
      <c r="X33" s="8">
        <f t="shared" si="6"/>
        <v>58453943.749298513</v>
      </c>
      <c r="Y33" s="6">
        <v>58453943.749298498</v>
      </c>
      <c r="Z33" s="6">
        <v>-10419.013121695605</v>
      </c>
      <c r="AA33" s="2">
        <f t="shared" si="3"/>
        <v>-10419013.121695606</v>
      </c>
      <c r="AB33" s="210">
        <v>-10419013.1216956</v>
      </c>
      <c r="AD33" t="b">
        <f>AND(W33='20200316'!V33,Z33='20200316'!Y33)</f>
        <v>1</v>
      </c>
    </row>
    <row r="34" spans="17:30">
      <c r="Q34" s="261" t="s">
        <v>58</v>
      </c>
      <c r="R34" s="262">
        <v>35</v>
      </c>
      <c r="S34" s="263">
        <f t="shared" si="10"/>
        <v>862</v>
      </c>
      <c r="T34" s="261">
        <f>U34-225</f>
        <v>953</v>
      </c>
      <c r="U34" s="261">
        <v>1178</v>
      </c>
      <c r="V34" s="261">
        <v>0</v>
      </c>
      <c r="W34" s="261">
        <v>58379.364605040537</v>
      </c>
      <c r="X34" s="264">
        <f t="shared" si="6"/>
        <v>58379364.605040535</v>
      </c>
      <c r="Y34" s="261">
        <v>58392997.351840399</v>
      </c>
      <c r="Z34" s="261">
        <v>-10363.45278294801</v>
      </c>
      <c r="AA34" s="265">
        <f t="shared" si="3"/>
        <v>-10363452.78294801</v>
      </c>
      <c r="AB34" s="266">
        <v>-10419013.1216956</v>
      </c>
      <c r="AC34" s="267"/>
      <c r="AD34" t="b">
        <f>AND(W34='20200316'!V34,Z34='20200316'!Y34)</f>
        <v>1</v>
      </c>
    </row>
    <row r="35" spans="17:30">
      <c r="Q35" s="261" t="s">
        <v>57</v>
      </c>
      <c r="R35" s="262">
        <v>36</v>
      </c>
      <c r="S35" s="263">
        <f t="shared" si="10"/>
        <v>862</v>
      </c>
      <c r="T35" s="261">
        <f t="shared" ref="T35:T37" si="11">U35-225</f>
        <v>953</v>
      </c>
      <c r="U35" s="261">
        <v>1178</v>
      </c>
      <c r="V35" s="261">
        <v>0</v>
      </c>
      <c r="W35" s="261">
        <v>58379.364605040537</v>
      </c>
      <c r="X35" s="264">
        <f t="shared" si="6"/>
        <v>58379364.605040535</v>
      </c>
      <c r="Y35" s="261">
        <v>58392997.351840377</v>
      </c>
      <c r="Z35" s="261">
        <v>-10363.45278294801</v>
      </c>
      <c r="AA35" s="265">
        <f t="shared" si="3"/>
        <v>-10363452.78294801</v>
      </c>
      <c r="AB35" s="266">
        <v>-10373608.973901872</v>
      </c>
      <c r="AC35" s="267"/>
      <c r="AD35" t="b">
        <f>AND(W35='20200316'!V35,Z35='20200316'!Y35)</f>
        <v>1</v>
      </c>
    </row>
    <row r="36" spans="17:30">
      <c r="Q36" s="261" t="s">
        <v>58</v>
      </c>
      <c r="R36" s="262">
        <v>37</v>
      </c>
      <c r="S36" s="263">
        <f t="shared" si="10"/>
        <v>956</v>
      </c>
      <c r="T36" s="261">
        <f t="shared" si="11"/>
        <v>1047</v>
      </c>
      <c r="U36" s="261">
        <v>1272</v>
      </c>
      <c r="V36" s="261">
        <v>0</v>
      </c>
      <c r="W36" s="261">
        <v>58304.528509134943</v>
      </c>
      <c r="X36" s="264"/>
      <c r="Y36" s="261"/>
      <c r="Z36" s="261">
        <v>-10306.582849602919</v>
      </c>
      <c r="AA36" s="265"/>
      <c r="AB36" s="266"/>
      <c r="AC36" s="267"/>
      <c r="AD36" t="b">
        <f>AND(W36='20200316'!V36,Z36='20200316'!Y36)</f>
        <v>1</v>
      </c>
    </row>
    <row r="37" spans="17:30">
      <c r="Q37" s="261" t="s">
        <v>57</v>
      </c>
      <c r="R37" s="262">
        <v>38</v>
      </c>
      <c r="S37" s="263">
        <f t="shared" si="10"/>
        <v>956</v>
      </c>
      <c r="T37" s="261">
        <f t="shared" si="11"/>
        <v>1047</v>
      </c>
      <c r="U37" s="261">
        <v>1272</v>
      </c>
      <c r="V37" s="261">
        <v>0</v>
      </c>
      <c r="W37" s="261">
        <v>58304.528509134943</v>
      </c>
      <c r="X37" s="264"/>
      <c r="Y37" s="261"/>
      <c r="Z37" s="261">
        <v>-10306.582849602919</v>
      </c>
      <c r="AA37" s="265"/>
      <c r="AB37" s="266"/>
      <c r="AC37" s="267"/>
      <c r="AD37" t="b">
        <f>AND(W37='20200316'!V37,Z37='20200316'!Y37)</f>
        <v>1</v>
      </c>
    </row>
    <row r="38" spans="17:30">
      <c r="Q38" s="236" t="s">
        <v>274</v>
      </c>
      <c r="R38" s="233">
        <v>41</v>
      </c>
      <c r="S38" s="10">
        <f t="shared" si="10"/>
        <v>1054</v>
      </c>
      <c r="T38" s="236">
        <v>1145</v>
      </c>
      <c r="U38" s="236">
        <f>T38+225</f>
        <v>1370</v>
      </c>
      <c r="V38" s="236">
        <v>0</v>
      </c>
      <c r="W38" s="236">
        <v>58230.857683792274</v>
      </c>
      <c r="X38" s="234"/>
      <c r="Y38" s="236"/>
      <c r="Z38" s="236">
        <v>-10241.99745728221</v>
      </c>
      <c r="AA38" s="236"/>
      <c r="AB38" s="237"/>
      <c r="AC38" s="238"/>
      <c r="AD38" s="13" t="b">
        <f>AND(W38='20200316'!V38,Z38='20200316'!Y38)</f>
        <v>0</v>
      </c>
    </row>
    <row r="39" spans="17:30">
      <c r="Q39" s="236" t="s">
        <v>275</v>
      </c>
      <c r="R39" s="233">
        <v>42</v>
      </c>
      <c r="S39" s="10">
        <f t="shared" si="10"/>
        <v>1054</v>
      </c>
      <c r="T39" s="236">
        <v>1145</v>
      </c>
      <c r="U39" s="236">
        <f t="shared" ref="U39:U41" si="12">T39+225</f>
        <v>1370</v>
      </c>
      <c r="V39" s="236">
        <v>0</v>
      </c>
      <c r="W39" s="236">
        <v>58230.857683792274</v>
      </c>
      <c r="X39" s="234"/>
      <c r="Y39" s="236"/>
      <c r="Z39" s="236">
        <v>-10241.99745728221</v>
      </c>
      <c r="AA39" s="236"/>
      <c r="AB39" s="237"/>
      <c r="AC39" s="238"/>
      <c r="AD39" s="13" t="b">
        <f>AND(W39='20200316'!V39,Z39='20200316'!Y39)</f>
        <v>0</v>
      </c>
    </row>
    <row r="40" spans="17:30">
      <c r="Q40" s="236" t="s">
        <v>274</v>
      </c>
      <c r="R40" s="233">
        <v>43</v>
      </c>
      <c r="S40" s="10">
        <f t="shared" si="10"/>
        <v>1140</v>
      </c>
      <c r="T40" s="236">
        <v>1231</v>
      </c>
      <c r="U40" s="236">
        <f t="shared" si="12"/>
        <v>1456</v>
      </c>
      <c r="V40" s="236">
        <v>0</v>
      </c>
      <c r="W40" s="236">
        <v>58170.734819678692</v>
      </c>
      <c r="X40" s="234"/>
      <c r="Y40" s="236"/>
      <c r="Z40" s="236">
        <v>-10180.531400012727</v>
      </c>
      <c r="AA40" s="236"/>
      <c r="AB40" s="237"/>
      <c r="AC40" s="238"/>
      <c r="AD40" s="13" t="b">
        <f>AND(W40='20200316'!V40,Z40='20200316'!Y40)</f>
        <v>0</v>
      </c>
    </row>
    <row r="41" spans="17:30">
      <c r="Q41" s="236" t="s">
        <v>57</v>
      </c>
      <c r="R41" s="233">
        <v>44</v>
      </c>
      <c r="S41" s="10">
        <f t="shared" si="10"/>
        <v>1140</v>
      </c>
      <c r="T41" s="236">
        <v>1231</v>
      </c>
      <c r="U41" s="236">
        <f t="shared" si="12"/>
        <v>1456</v>
      </c>
      <c r="V41" s="236">
        <v>0</v>
      </c>
      <c r="W41" s="236">
        <v>58170.734819678692</v>
      </c>
      <c r="X41" s="234"/>
      <c r="Y41" s="236"/>
      <c r="Z41" s="236">
        <v>-10180.531400012727</v>
      </c>
      <c r="AA41" s="236"/>
      <c r="AB41" s="237"/>
      <c r="AC41" s="238"/>
      <c r="AD41" s="13" t="b">
        <f>AND(W41='20200316'!V41,Z41='20200316'!Y41)</f>
        <v>0</v>
      </c>
    </row>
    <row r="42" spans="17:30">
      <c r="Q42" s="440" t="s">
        <v>29</v>
      </c>
      <c r="R42" s="441"/>
      <c r="S42" s="441"/>
      <c r="T42" s="441"/>
      <c r="U42" s="441"/>
      <c r="V42" s="441"/>
      <c r="W42" s="44"/>
      <c r="X42" s="44"/>
      <c r="Y42" s="44"/>
      <c r="Z42" s="45"/>
      <c r="AA42" s="2">
        <f t="shared" si="3"/>
        <v>0</v>
      </c>
      <c r="AB42" s="210"/>
    </row>
    <row r="43" spans="17:30">
      <c r="Q43" s="268" t="s">
        <v>58</v>
      </c>
      <c r="R43" s="269">
        <v>10</v>
      </c>
      <c r="S43" s="269"/>
      <c r="T43" s="268">
        <f>U43-225</f>
        <v>0</v>
      </c>
      <c r="U43" s="268">
        <v>225</v>
      </c>
      <c r="V43" s="268">
        <v>-3.7</v>
      </c>
      <c r="W43" s="268">
        <v>59022.590114600003</v>
      </c>
      <c r="X43" s="268">
        <f>W43*1000</f>
        <v>59022590.114600003</v>
      </c>
      <c r="Y43" s="268">
        <v>59022590.114600003</v>
      </c>
      <c r="Z43" s="268">
        <v>-11050.7168029</v>
      </c>
      <c r="AA43" s="2">
        <f t="shared" si="3"/>
        <v>-11050716.8029</v>
      </c>
      <c r="AB43" s="210">
        <v>-11050716.8029</v>
      </c>
      <c r="AD43" t="b">
        <f>AND(W43='20200316'!V39,Z43='20200316'!Y39)</f>
        <v>1</v>
      </c>
    </row>
    <row r="44" spans="17:30">
      <c r="Q44" s="268" t="s">
        <v>58</v>
      </c>
      <c r="R44" s="269">
        <v>11</v>
      </c>
      <c r="S44" s="269"/>
      <c r="T44" s="268">
        <f>U44-225</f>
        <v>51.600000000000023</v>
      </c>
      <c r="U44" s="268">
        <v>276.60000000000002</v>
      </c>
      <c r="V44" s="268">
        <v>0</v>
      </c>
      <c r="W44" s="268">
        <v>59044.8540765</v>
      </c>
      <c r="X44" s="268">
        <f t="shared" ref="X44:X47" si="13">W44*1000</f>
        <v>59044854.076499999</v>
      </c>
      <c r="Y44" s="268">
        <v>59044854.076499999</v>
      </c>
      <c r="Z44" s="268">
        <v>-11097.398668400001</v>
      </c>
      <c r="AA44" s="2">
        <f t="shared" si="3"/>
        <v>-11097398.668400001</v>
      </c>
      <c r="AB44" s="210">
        <v>-11097398.668400001</v>
      </c>
      <c r="AD44" t="b">
        <f>AND(W44='20200316'!V40,Z44='20200316'!Y40)</f>
        <v>1</v>
      </c>
    </row>
    <row r="45" spans="17:30">
      <c r="Q45" s="268" t="s">
        <v>57</v>
      </c>
      <c r="R45" s="269">
        <v>12</v>
      </c>
      <c r="S45" s="269"/>
      <c r="T45" s="268">
        <f t="shared" ref="T45:T49" si="14">U45-225</f>
        <v>51.600000000000023</v>
      </c>
      <c r="U45" s="268">
        <v>276.60000000000002</v>
      </c>
      <c r="V45" s="268">
        <v>0</v>
      </c>
      <c r="W45" s="268">
        <v>59044.8540765</v>
      </c>
      <c r="X45" s="268">
        <f t="shared" si="13"/>
        <v>59044854.076499999</v>
      </c>
      <c r="Y45" s="268">
        <v>59044854.076499999</v>
      </c>
      <c r="Z45" s="268">
        <v>-11097.398668400001</v>
      </c>
      <c r="AA45" s="2">
        <f t="shared" si="3"/>
        <v>-11097398.668400001</v>
      </c>
      <c r="AB45" s="210">
        <v>-11097398.668400001</v>
      </c>
      <c r="AD45" t="b">
        <f>AND(W45='20200316'!V41,Z45='20200316'!Y41)</f>
        <v>1</v>
      </c>
    </row>
    <row r="46" spans="17:30">
      <c r="Q46" s="268" t="s">
        <v>58</v>
      </c>
      <c r="R46" s="269">
        <v>33</v>
      </c>
      <c r="S46" s="269"/>
      <c r="T46" s="268">
        <f t="shared" si="14"/>
        <v>156.60000000000002</v>
      </c>
      <c r="U46" s="268">
        <v>381.6</v>
      </c>
      <c r="V46" s="268">
        <v>0</v>
      </c>
      <c r="W46" s="268">
        <v>59096.395253137118</v>
      </c>
      <c r="X46" s="268">
        <f t="shared" si="13"/>
        <v>59096395.253137119</v>
      </c>
      <c r="Y46" s="268">
        <v>59096395.253137097</v>
      </c>
      <c r="Z46" s="268">
        <v>-11188.889858173767</v>
      </c>
      <c r="AA46" s="2">
        <f t="shared" si="3"/>
        <v>-11188889.858173767</v>
      </c>
      <c r="AB46" s="210">
        <v>-11188889.858173801</v>
      </c>
      <c r="AD46" t="b">
        <f>AND(W46='20200316'!V42,Z46='20200316'!Y42)</f>
        <v>1</v>
      </c>
    </row>
    <row r="47" spans="17:30">
      <c r="Q47" s="268" t="s">
        <v>57</v>
      </c>
      <c r="R47" s="269">
        <v>34</v>
      </c>
      <c r="S47" s="269"/>
      <c r="T47" s="268">
        <f t="shared" si="14"/>
        <v>156.60000000000002</v>
      </c>
      <c r="U47" s="268">
        <v>381.6</v>
      </c>
      <c r="V47" s="268">
        <v>0</v>
      </c>
      <c r="W47" s="268">
        <v>59096.395253137118</v>
      </c>
      <c r="X47" s="268">
        <f t="shared" si="13"/>
        <v>59096395.253137119</v>
      </c>
      <c r="Y47" s="268">
        <v>59096395.253137119</v>
      </c>
      <c r="Z47" s="268">
        <v>-11188.889858173767</v>
      </c>
      <c r="AA47" s="2">
        <f t="shared" si="3"/>
        <v>-11188889.858173767</v>
      </c>
      <c r="AB47" s="210">
        <v>-11188889.858173767</v>
      </c>
      <c r="AD47" t="b">
        <f>AND(W47='20200316'!V43,Z47='20200316'!Y43)</f>
        <v>1</v>
      </c>
    </row>
    <row r="48" spans="17:30">
      <c r="Q48" s="270" t="s">
        <v>58</v>
      </c>
      <c r="R48" s="269">
        <v>39</v>
      </c>
      <c r="S48" s="269"/>
      <c r="T48" s="268">
        <f t="shared" si="14"/>
        <v>250</v>
      </c>
      <c r="U48" s="270">
        <v>475</v>
      </c>
      <c r="V48" s="270">
        <v>0</v>
      </c>
      <c r="W48" s="270">
        <v>59142.230671992875</v>
      </c>
      <c r="X48" s="270"/>
      <c r="Y48" s="270"/>
      <c r="Z48" s="270">
        <v>-11270.269673719864</v>
      </c>
      <c r="AD48" t="b">
        <f>AND(W48='20200316'!V44,Z48='20200316'!Y44)</f>
        <v>1</v>
      </c>
    </row>
    <row r="49" spans="17:30">
      <c r="Q49" s="270" t="s">
        <v>57</v>
      </c>
      <c r="R49" s="269">
        <v>40</v>
      </c>
      <c r="S49" s="269"/>
      <c r="T49" s="268">
        <f t="shared" si="14"/>
        <v>250</v>
      </c>
      <c r="U49" s="270">
        <v>475</v>
      </c>
      <c r="V49" s="270">
        <v>0</v>
      </c>
      <c r="W49" s="270">
        <v>59142.230671992875</v>
      </c>
      <c r="X49" s="270"/>
      <c r="Y49" s="270"/>
      <c r="Z49" s="270">
        <v>-11270.269673719864</v>
      </c>
      <c r="AD49" t="b">
        <f>AND(W49='20200316'!V45,Z49='20200316'!Y45)</f>
        <v>1</v>
      </c>
    </row>
    <row r="52" spans="17:30">
      <c r="AA52" s="1">
        <f t="shared" ref="AA52:AA53" si="15">Z52*1000</f>
        <v>0</v>
      </c>
    </row>
    <row r="53" spans="17:30">
      <c r="AA53" s="1">
        <f t="shared" si="15"/>
        <v>0</v>
      </c>
    </row>
  </sheetData>
  <mergeCells count="13">
    <mergeCell ref="Q42:V42"/>
    <mergeCell ref="A2:A3"/>
    <mergeCell ref="C2:C3"/>
    <mergeCell ref="D2:D3"/>
    <mergeCell ref="E2:E3"/>
    <mergeCell ref="F2:F3"/>
    <mergeCell ref="G2:L2"/>
    <mergeCell ref="A4:F4"/>
    <mergeCell ref="Q4:V4"/>
    <mergeCell ref="A9:F9"/>
    <mergeCell ref="A13:F13"/>
    <mergeCell ref="Q13:V13"/>
    <mergeCell ref="B2:B3"/>
  </mergeCells>
  <phoneticPr fontId="2"/>
  <pageMargins left="0.7" right="0.7" top="0.75" bottom="0.75" header="0.3" footer="0.3"/>
  <pageSetup paperSize="8" scale="8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C49"/>
  <sheetViews>
    <sheetView zoomScaleNormal="100" workbookViewId="0">
      <selection activeCell="A20" sqref="A20"/>
    </sheetView>
  </sheetViews>
  <sheetFormatPr baseColWidth="10" defaultColWidth="8.83203125" defaultRowHeight="18"/>
  <cols>
    <col min="1" max="1" width="4.6640625" customWidth="1"/>
    <col min="2" max="2" width="3" hidden="1" customWidth="1"/>
    <col min="3" max="3" width="15.1640625" customWidth="1"/>
    <col min="4" max="4" width="13.1640625" customWidth="1"/>
    <col min="5" max="5" width="16.6640625" customWidth="1"/>
    <col min="6" max="6" width="20.1640625" customWidth="1"/>
    <col min="7" max="7" width="16.5" customWidth="1"/>
    <col min="8" max="8" width="12.6640625" hidden="1" customWidth="1"/>
    <col min="9" max="9" width="16.6640625" style="13" hidden="1" customWidth="1"/>
    <col min="10" max="10" width="14.5" customWidth="1"/>
    <col min="11" max="11" width="13.83203125" hidden="1" customWidth="1"/>
    <col min="12" max="12" width="14.83203125" style="13" hidden="1" customWidth="1"/>
    <col min="13" max="13" width="15.6640625" hidden="1" customWidth="1"/>
    <col min="14" max="14" width="15.6640625" style="22" customWidth="1"/>
    <col min="15" max="16" width="15.6640625" customWidth="1"/>
    <col min="17" max="17" width="9.1640625" customWidth="1"/>
    <col min="18" max="18" width="7.83203125" style="15" customWidth="1"/>
    <col min="19" max="19" width="12.1640625" customWidth="1"/>
    <col min="20" max="21" width="14.6640625" customWidth="1"/>
    <col min="22" max="22" width="14" customWidth="1"/>
    <col min="23" max="23" width="13.33203125" hidden="1" customWidth="1"/>
    <col min="24" max="24" width="8.83203125" style="13" hidden="1" customWidth="1"/>
    <col min="25" max="25" width="12.5" customWidth="1"/>
    <col min="26" max="26" width="13.6640625" hidden="1" customWidth="1"/>
    <col min="27" max="27" width="3.83203125" style="13" hidden="1" customWidth="1"/>
  </cols>
  <sheetData>
    <row r="2" spans="1:29" ht="20.25" customHeight="1">
      <c r="A2" s="442" t="s">
        <v>282</v>
      </c>
      <c r="B2" s="228"/>
      <c r="C2" s="444" t="s">
        <v>10</v>
      </c>
      <c r="D2" s="444" t="s">
        <v>4</v>
      </c>
      <c r="E2" s="444" t="s">
        <v>3</v>
      </c>
      <c r="F2" s="444" t="s">
        <v>283</v>
      </c>
      <c r="G2" s="440" t="s">
        <v>7</v>
      </c>
      <c r="H2" s="441"/>
      <c r="I2" s="441"/>
      <c r="J2" s="441"/>
      <c r="K2" s="441"/>
      <c r="L2" s="445"/>
      <c r="Q2" t="s">
        <v>60</v>
      </c>
    </row>
    <row r="3" spans="1:29" ht="36" customHeight="1">
      <c r="A3" s="443"/>
      <c r="B3" s="229"/>
      <c r="C3" s="444"/>
      <c r="D3" s="444"/>
      <c r="E3" s="444"/>
      <c r="F3" s="444"/>
      <c r="G3" s="40" t="s">
        <v>284</v>
      </c>
      <c r="H3" s="40" t="s">
        <v>285</v>
      </c>
      <c r="I3" s="40" t="s">
        <v>286</v>
      </c>
      <c r="J3" s="41" t="s">
        <v>287</v>
      </c>
      <c r="K3" s="42" t="s">
        <v>288</v>
      </c>
      <c r="L3" s="41" t="s">
        <v>289</v>
      </c>
      <c r="Q3" s="6" t="s">
        <v>59</v>
      </c>
      <c r="R3" s="16" t="s">
        <v>290</v>
      </c>
      <c r="S3" s="6"/>
      <c r="T3" s="43" t="s">
        <v>291</v>
      </c>
      <c r="U3" s="43" t="s">
        <v>292</v>
      </c>
      <c r="V3" s="7" t="s">
        <v>284</v>
      </c>
      <c r="W3" s="211" t="s">
        <v>293</v>
      </c>
      <c r="X3" s="7" t="s">
        <v>285</v>
      </c>
      <c r="Y3" s="7" t="s">
        <v>287</v>
      </c>
      <c r="Z3" s="3" t="s">
        <v>294</v>
      </c>
      <c r="AA3" s="211" t="s">
        <v>294</v>
      </c>
    </row>
    <row r="4" spans="1:29">
      <c r="A4" s="446" t="s">
        <v>0</v>
      </c>
      <c r="B4" s="447"/>
      <c r="C4" s="447"/>
      <c r="D4" s="447"/>
      <c r="E4" s="447"/>
      <c r="F4" s="448"/>
      <c r="G4" s="44"/>
      <c r="H4" s="44"/>
      <c r="I4" s="44"/>
      <c r="J4" s="45"/>
      <c r="K4" s="42"/>
      <c r="L4" s="7"/>
      <c r="Q4" s="440" t="s">
        <v>0</v>
      </c>
      <c r="R4" s="441"/>
      <c r="S4" s="441"/>
      <c r="T4" s="441"/>
      <c r="U4" s="445"/>
      <c r="V4" s="46"/>
      <c r="W4" s="46"/>
      <c r="X4" s="46"/>
      <c r="Y4" s="46"/>
      <c r="Z4" s="2"/>
      <c r="AA4" s="2"/>
    </row>
    <row r="5" spans="1:29">
      <c r="A5" s="1">
        <v>1</v>
      </c>
      <c r="B5" s="1"/>
      <c r="C5" s="1">
        <v>8</v>
      </c>
      <c r="D5" s="1">
        <v>0</v>
      </c>
      <c r="E5" s="232">
        <v>106</v>
      </c>
      <c r="F5" s="232" t="s">
        <v>295</v>
      </c>
      <c r="G5" s="8">
        <v>58966.585840452462</v>
      </c>
      <c r="H5" s="8">
        <f>G5*1000</f>
        <v>58966585.840452462</v>
      </c>
      <c r="I5" s="8">
        <v>58970128</v>
      </c>
      <c r="J5" s="8">
        <v>-11233.265725134037</v>
      </c>
      <c r="K5" s="47">
        <f>J5*1000</f>
        <v>-11233265.725134037</v>
      </c>
      <c r="L5" s="8">
        <v>-11232214</v>
      </c>
      <c r="M5" s="12"/>
      <c r="Q5" s="6" t="s">
        <v>58</v>
      </c>
      <c r="R5" s="11">
        <v>2</v>
      </c>
      <c r="S5" s="6"/>
      <c r="T5" s="6">
        <v>3</v>
      </c>
      <c r="U5" s="6">
        <v>0</v>
      </c>
      <c r="V5" s="6">
        <v>58968.021898983963</v>
      </c>
      <c r="W5" s="8">
        <f t="shared" ref="W5:W12" si="0">V5*1000</f>
        <v>58968021.898983963</v>
      </c>
      <c r="X5" s="6">
        <v>58968021.898984</v>
      </c>
      <c r="Y5" s="6">
        <v>-11238.055626654561</v>
      </c>
      <c r="Z5" s="2">
        <f>Y5*1000</f>
        <v>-11238055.626654562</v>
      </c>
      <c r="AA5" s="210">
        <v>-11238055.626654601</v>
      </c>
    </row>
    <row r="6" spans="1:29">
      <c r="A6" s="1">
        <v>2</v>
      </c>
      <c r="B6" s="1"/>
      <c r="C6" s="5">
        <v>106.43</v>
      </c>
      <c r="D6" s="1">
        <v>0</v>
      </c>
      <c r="E6" s="232">
        <v>107</v>
      </c>
      <c r="F6" s="232" t="s">
        <v>296</v>
      </c>
      <c r="G6" s="8">
        <v>58942.998156967798</v>
      </c>
      <c r="H6" s="8">
        <f t="shared" ref="H6:H24" si="1">G6*1000</f>
        <v>58942998.156967796</v>
      </c>
      <c r="I6" s="8">
        <v>58946695.038094319</v>
      </c>
      <c r="J6" s="8">
        <v>-11138.10792448207</v>
      </c>
      <c r="K6" s="47">
        <f t="shared" ref="K6:K25" si="2">J6*1000</f>
        <v>-11138107.92448207</v>
      </c>
      <c r="L6" s="8">
        <v>-11138259.812389489</v>
      </c>
      <c r="M6" s="12"/>
      <c r="Q6" s="6" t="s">
        <v>58</v>
      </c>
      <c r="R6" s="11">
        <v>3</v>
      </c>
      <c r="S6" s="6"/>
      <c r="T6" s="6">
        <v>50</v>
      </c>
      <c r="U6" s="6">
        <v>0</v>
      </c>
      <c r="V6" s="6">
        <v>58954.524256357268</v>
      </c>
      <c r="W6" s="8">
        <f t="shared" si="0"/>
        <v>58954524.256357267</v>
      </c>
      <c r="X6" s="6">
        <v>58954524.256357267</v>
      </c>
      <c r="Y6" s="6">
        <v>-11193.034913694115</v>
      </c>
      <c r="Z6" s="2">
        <f t="shared" ref="Z6:Z43" si="3">Y6*1000</f>
        <v>-11193034.913694115</v>
      </c>
      <c r="AA6" s="210">
        <v>-11193034.913694115</v>
      </c>
    </row>
    <row r="7" spans="1:29">
      <c r="A7" s="1">
        <v>3</v>
      </c>
      <c r="B7" s="1"/>
      <c r="C7" s="1">
        <v>202</v>
      </c>
      <c r="D7" s="1">
        <v>0</v>
      </c>
      <c r="E7" s="232">
        <v>104</v>
      </c>
      <c r="F7" s="232" t="s">
        <v>297</v>
      </c>
      <c r="G7" s="8">
        <v>58992.690101171218</v>
      </c>
      <c r="H7" s="8">
        <f t="shared" si="1"/>
        <v>58992690.101171218</v>
      </c>
      <c r="I7" s="8">
        <v>58994468.186725363</v>
      </c>
      <c r="J7" s="8">
        <v>-11061.503556133657</v>
      </c>
      <c r="K7" s="47">
        <f t="shared" si="2"/>
        <v>-11061503.556133658</v>
      </c>
      <c r="L7" s="8">
        <v>-11064748.30755128</v>
      </c>
      <c r="M7" s="12"/>
      <c r="Q7" s="6" t="s">
        <v>57</v>
      </c>
      <c r="R7" s="11">
        <v>4</v>
      </c>
      <c r="S7" s="6"/>
      <c r="T7" s="6">
        <v>50</v>
      </c>
      <c r="U7" s="6">
        <v>0</v>
      </c>
      <c r="V7" s="6">
        <v>58954.524256357268</v>
      </c>
      <c r="W7" s="8">
        <f t="shared" si="0"/>
        <v>58954524.256357267</v>
      </c>
      <c r="X7" s="6">
        <v>58954524.256357267</v>
      </c>
      <c r="Y7" s="6">
        <v>-11193.034913694115</v>
      </c>
      <c r="Z7" s="2">
        <f t="shared" si="3"/>
        <v>-11193034.913694115</v>
      </c>
      <c r="AA7" s="210">
        <v>-11193034.913694115</v>
      </c>
    </row>
    <row r="8" spans="1:29">
      <c r="A8" s="6">
        <v>4</v>
      </c>
      <c r="B8" s="6"/>
      <c r="C8" s="6">
        <v>225</v>
      </c>
      <c r="D8" s="6">
        <v>0</v>
      </c>
      <c r="E8" s="7">
        <v>108</v>
      </c>
      <c r="F8" s="7" t="s">
        <v>298</v>
      </c>
      <c r="G8" s="8">
        <v>59012.726039425717</v>
      </c>
      <c r="H8" s="8">
        <f t="shared" si="1"/>
        <v>59012726.039425716</v>
      </c>
      <c r="I8" s="8">
        <v>59015032.745009467</v>
      </c>
      <c r="J8" s="8">
        <v>-11050.524097990725</v>
      </c>
      <c r="K8" s="47">
        <f t="shared" si="2"/>
        <v>-11050524.097990725</v>
      </c>
      <c r="L8" s="8">
        <v>-11054733.505235206</v>
      </c>
      <c r="M8" s="12"/>
      <c r="N8" s="48" t="s">
        <v>65</v>
      </c>
      <c r="Q8" s="6" t="s">
        <v>58</v>
      </c>
      <c r="R8" s="11">
        <v>5</v>
      </c>
      <c r="S8" s="6"/>
      <c r="T8" s="6">
        <v>150.30000000000001</v>
      </c>
      <c r="U8" s="6">
        <v>0</v>
      </c>
      <c r="V8" s="6">
        <v>58955.289173639314</v>
      </c>
      <c r="W8" s="8">
        <f t="shared" si="0"/>
        <v>58955289.173639312</v>
      </c>
      <c r="X8" s="6">
        <v>58955289.173639297</v>
      </c>
      <c r="Y8" s="6">
        <v>-11096.340970869365</v>
      </c>
      <c r="Z8" s="2">
        <f t="shared" si="3"/>
        <v>-11096340.970869366</v>
      </c>
      <c r="AA8" s="210">
        <v>-11096340.9708694</v>
      </c>
    </row>
    <row r="9" spans="1:29">
      <c r="A9" s="446" t="s">
        <v>8</v>
      </c>
      <c r="B9" s="447"/>
      <c r="C9" s="447"/>
      <c r="D9" s="447"/>
      <c r="E9" s="447"/>
      <c r="F9" s="448"/>
      <c r="G9" s="46"/>
      <c r="H9" s="46"/>
      <c r="I9" s="46"/>
      <c r="J9" s="46"/>
      <c r="K9" s="47">
        <f t="shared" si="2"/>
        <v>0</v>
      </c>
      <c r="L9" s="7"/>
      <c r="Q9" s="6" t="s">
        <v>57</v>
      </c>
      <c r="R9" s="11">
        <v>6</v>
      </c>
      <c r="S9" s="6"/>
      <c r="T9" s="6">
        <v>150.30000000000001</v>
      </c>
      <c r="U9" s="6">
        <v>0</v>
      </c>
      <c r="V9" s="6">
        <v>58955.289173639314</v>
      </c>
      <c r="W9" s="8">
        <f t="shared" si="0"/>
        <v>58955289.173639312</v>
      </c>
      <c r="X9" s="6">
        <v>58955289.173639312</v>
      </c>
      <c r="Y9" s="6">
        <v>-11096.340970869365</v>
      </c>
      <c r="Z9" s="2">
        <f t="shared" si="3"/>
        <v>-11096340.970869366</v>
      </c>
      <c r="AA9" s="210">
        <v>-11096340.970869366</v>
      </c>
    </row>
    <row r="10" spans="1:29">
      <c r="A10" s="9">
        <v>13</v>
      </c>
      <c r="B10" s="9"/>
      <c r="C10" s="9">
        <v>337</v>
      </c>
      <c r="D10" s="9">
        <v>0</v>
      </c>
      <c r="E10" s="232">
        <v>119</v>
      </c>
      <c r="F10" s="232" t="s">
        <v>299</v>
      </c>
      <c r="G10" s="49">
        <v>59070.092003400001</v>
      </c>
      <c r="H10" s="8">
        <f>G10*1000</f>
        <v>59070092.003399998</v>
      </c>
      <c r="I10" s="8">
        <v>59070092.003399998</v>
      </c>
      <c r="J10" s="49">
        <v>-11142.187622699999</v>
      </c>
      <c r="K10" s="47">
        <f>J10*1000</f>
        <v>-11142187.6227</v>
      </c>
      <c r="L10" s="49">
        <v>-11142187.6227</v>
      </c>
      <c r="M10" s="14"/>
      <c r="Q10" s="6" t="s">
        <v>58</v>
      </c>
      <c r="R10" s="11">
        <v>7</v>
      </c>
      <c r="S10" s="6"/>
      <c r="T10" s="6">
        <v>222.6</v>
      </c>
      <c r="U10" s="6">
        <v>0</v>
      </c>
      <c r="V10" s="6">
        <v>59010.755473928781</v>
      </c>
      <c r="W10" s="8">
        <f t="shared" si="0"/>
        <v>59010755.473928779</v>
      </c>
      <c r="X10" s="6">
        <v>59010755.473928802</v>
      </c>
      <c r="Y10" s="6">
        <v>-11051.60394467006</v>
      </c>
      <c r="Z10" s="2">
        <f t="shared" si="3"/>
        <v>-11051603.944670059</v>
      </c>
      <c r="AA10" s="210">
        <v>-11051603.9446701</v>
      </c>
    </row>
    <row r="11" spans="1:29">
      <c r="A11" s="9">
        <v>19</v>
      </c>
      <c r="B11" s="9"/>
      <c r="C11" s="9">
        <v>424.6</v>
      </c>
      <c r="D11" s="9">
        <v>0</v>
      </c>
      <c r="E11" s="232">
        <v>123</v>
      </c>
      <c r="F11" s="232" t="s">
        <v>300</v>
      </c>
      <c r="G11" s="49">
        <v>59117.497212567498</v>
      </c>
      <c r="H11" s="8">
        <f t="shared" ref="H11:H12" si="4">G11*1000</f>
        <v>59117497.212567501</v>
      </c>
      <c r="I11" s="8">
        <v>59117497.212567501</v>
      </c>
      <c r="J11" s="49">
        <v>-11226.355940277432</v>
      </c>
      <c r="K11" s="47">
        <f t="shared" ref="K11:K12" si="5">J11*1000</f>
        <v>-11226355.940277431</v>
      </c>
      <c r="L11" s="49">
        <v>-11226355.940277431</v>
      </c>
      <c r="M11" s="14"/>
      <c r="Q11" s="6"/>
      <c r="R11" s="11"/>
      <c r="S11" s="6"/>
      <c r="T11" s="6"/>
      <c r="U11" s="6"/>
      <c r="V11" s="6"/>
      <c r="W11" s="8"/>
      <c r="X11" s="6">
        <v>0</v>
      </c>
      <c r="Y11" s="6"/>
      <c r="Z11" s="2"/>
      <c r="AA11" s="210">
        <v>0</v>
      </c>
    </row>
    <row r="12" spans="1:29" s="13" customFormat="1" ht="18" customHeight="1">
      <c r="A12" s="11">
        <v>5</v>
      </c>
      <c r="B12" s="11"/>
      <c r="C12" s="6">
        <v>523</v>
      </c>
      <c r="D12" s="6">
        <v>0</v>
      </c>
      <c r="E12" s="7">
        <v>109</v>
      </c>
      <c r="F12" s="7" t="s">
        <v>301</v>
      </c>
      <c r="G12" s="8">
        <v>59165.786347636094</v>
      </c>
      <c r="H12" s="8">
        <f t="shared" si="4"/>
        <v>59165786.347636096</v>
      </c>
      <c r="I12" s="8">
        <v>59129962.090928704</v>
      </c>
      <c r="J12" s="8">
        <v>-11312.092276998374</v>
      </c>
      <c r="K12" s="47">
        <f t="shared" si="5"/>
        <v>-11312092.276998373</v>
      </c>
      <c r="L12" s="206">
        <v>-11312.092276998374</v>
      </c>
      <c r="M12" s="14"/>
      <c r="N12" s="22"/>
      <c r="O12" s="212"/>
      <c r="P12" s="22"/>
      <c r="Q12" s="6" t="s">
        <v>57</v>
      </c>
      <c r="R12" s="6">
        <v>8</v>
      </c>
      <c r="S12" s="6"/>
      <c r="T12" s="6">
        <v>222.6</v>
      </c>
      <c r="U12" s="6">
        <v>0</v>
      </c>
      <c r="V12" s="6">
        <v>59010.755473928781</v>
      </c>
      <c r="W12" s="8">
        <f t="shared" si="0"/>
        <v>59010755.473928779</v>
      </c>
      <c r="X12" s="6">
        <v>59010755.473928779</v>
      </c>
      <c r="Y12" s="6">
        <v>-11051.60394467006</v>
      </c>
      <c r="Z12" s="2">
        <f t="shared" si="3"/>
        <v>-11051603.944670059</v>
      </c>
      <c r="AA12" s="210">
        <v>-11051603.944670059</v>
      </c>
      <c r="AC12"/>
    </row>
    <row r="13" spans="1:29">
      <c r="A13" s="446" t="s">
        <v>9</v>
      </c>
      <c r="B13" s="447"/>
      <c r="C13" s="447"/>
      <c r="D13" s="447"/>
      <c r="E13" s="447"/>
      <c r="F13" s="448"/>
      <c r="G13" s="46"/>
      <c r="H13" s="46"/>
      <c r="I13" s="46"/>
      <c r="J13" s="46"/>
      <c r="K13" s="47">
        <f t="shared" si="2"/>
        <v>0</v>
      </c>
      <c r="L13" s="7"/>
      <c r="Q13" s="440" t="s">
        <v>30</v>
      </c>
      <c r="R13" s="441"/>
      <c r="S13" s="441"/>
      <c r="T13" s="441"/>
      <c r="U13" s="441"/>
      <c r="V13" s="44"/>
      <c r="W13" s="44"/>
      <c r="X13" s="44">
        <v>0</v>
      </c>
      <c r="Y13" s="45"/>
      <c r="Z13" s="2">
        <f t="shared" si="3"/>
        <v>0</v>
      </c>
      <c r="AA13" s="210">
        <v>0</v>
      </c>
    </row>
    <row r="14" spans="1:29">
      <c r="A14" s="9">
        <v>6</v>
      </c>
      <c r="B14" s="9"/>
      <c r="C14" s="1">
        <f>225+83.9</f>
        <v>308.89999999999998</v>
      </c>
      <c r="D14" s="1">
        <v>0</v>
      </c>
      <c r="E14" s="232">
        <v>110</v>
      </c>
      <c r="F14" s="232" t="s">
        <v>302</v>
      </c>
      <c r="G14" s="8">
        <v>58978.371528612799</v>
      </c>
      <c r="H14" s="8">
        <f>G14*1000</f>
        <v>58978371.5286128</v>
      </c>
      <c r="I14" s="8">
        <v>58978371.5286128</v>
      </c>
      <c r="J14" s="8">
        <v>-10979.341175396898</v>
      </c>
      <c r="K14" s="47">
        <f t="shared" si="2"/>
        <v>-10979341.175396897</v>
      </c>
      <c r="L14" s="8">
        <v>-10979341.175396897</v>
      </c>
      <c r="M14" s="14"/>
      <c r="Q14" s="6" t="s">
        <v>57</v>
      </c>
      <c r="R14" s="11" t="s">
        <v>12</v>
      </c>
      <c r="S14" s="6">
        <v>10</v>
      </c>
      <c r="T14" s="6">
        <v>235</v>
      </c>
      <c r="U14" s="6">
        <v>3.7</v>
      </c>
      <c r="V14" s="6">
        <v>59017.861279899997</v>
      </c>
      <c r="W14" s="8">
        <f t="shared" ref="W14:W35" si="6">V14*1000</f>
        <v>59017861.279899999</v>
      </c>
      <c r="X14" s="6">
        <v>59014637.454238497</v>
      </c>
      <c r="Y14" s="6">
        <v>-11041.914808399999</v>
      </c>
      <c r="Z14" s="2">
        <f t="shared" si="3"/>
        <v>-11041914.8084</v>
      </c>
      <c r="AA14" s="210">
        <v>-11041914.8084</v>
      </c>
    </row>
    <row r="15" spans="1:29">
      <c r="A15" s="9">
        <v>7</v>
      </c>
      <c r="B15" s="9"/>
      <c r="C15" s="1">
        <f>225+181.9</f>
        <v>406.9</v>
      </c>
      <c r="D15" s="1">
        <v>0</v>
      </c>
      <c r="E15" s="232">
        <v>112</v>
      </c>
      <c r="F15" s="232" t="s">
        <v>303</v>
      </c>
      <c r="G15" s="8">
        <v>58929.79772970394</v>
      </c>
      <c r="H15" s="8">
        <f t="shared" si="1"/>
        <v>58929797.72970394</v>
      </c>
      <c r="I15" s="8">
        <v>58929797.729703903</v>
      </c>
      <c r="J15" s="8">
        <v>-10894.230452124972</v>
      </c>
      <c r="K15" s="47">
        <f t="shared" si="2"/>
        <v>-10894230.452124972</v>
      </c>
      <c r="L15" s="8">
        <v>-10894230.452124972</v>
      </c>
      <c r="M15" s="14"/>
      <c r="Q15" s="6" t="s">
        <v>58</v>
      </c>
      <c r="R15" s="11" t="s">
        <v>13</v>
      </c>
      <c r="S15" s="6">
        <v>133.9</v>
      </c>
      <c r="T15" s="6">
        <v>358.9</v>
      </c>
      <c r="U15" s="6">
        <v>0</v>
      </c>
      <c r="V15" s="6">
        <v>58953.83436648448</v>
      </c>
      <c r="W15" s="8">
        <f t="shared" si="6"/>
        <v>58953834.366484478</v>
      </c>
      <c r="X15" s="6">
        <v>58953834.3664845</v>
      </c>
      <c r="Y15" s="6">
        <v>-10935.775963648452</v>
      </c>
      <c r="Z15" s="2">
        <f t="shared" si="3"/>
        <v>-10935775.963648451</v>
      </c>
      <c r="AA15" s="210">
        <v>-10935775.963648451</v>
      </c>
    </row>
    <row r="16" spans="1:29">
      <c r="A16" s="9">
        <v>8</v>
      </c>
      <c r="B16" s="9"/>
      <c r="C16" s="1">
        <f>225+280.7</f>
        <v>505.7</v>
      </c>
      <c r="D16" s="1">
        <v>0</v>
      </c>
      <c r="E16" s="232">
        <v>113</v>
      </c>
      <c r="F16" s="232" t="s">
        <v>304</v>
      </c>
      <c r="G16" s="8">
        <v>58875.65236107372</v>
      </c>
      <c r="H16" s="8">
        <f t="shared" si="1"/>
        <v>58875652.361073717</v>
      </c>
      <c r="I16" s="8">
        <v>58875652.361073703</v>
      </c>
      <c r="J16" s="8">
        <v>-10811.616764070099</v>
      </c>
      <c r="K16" s="47">
        <f t="shared" si="2"/>
        <v>-10811616.764070099</v>
      </c>
      <c r="L16" s="8">
        <v>-10811616.764070099</v>
      </c>
      <c r="M16" s="14"/>
      <c r="Q16" s="6" t="s">
        <v>57</v>
      </c>
      <c r="R16" s="11" t="s">
        <v>14</v>
      </c>
      <c r="S16" s="6">
        <v>133.9</v>
      </c>
      <c r="T16" s="6">
        <v>358.9</v>
      </c>
      <c r="U16" s="6">
        <v>0</v>
      </c>
      <c r="V16" s="6">
        <v>58953.83436648448</v>
      </c>
      <c r="W16" s="8">
        <f t="shared" si="6"/>
        <v>58953834.366484478</v>
      </c>
      <c r="X16" s="6">
        <v>58953834.366484478</v>
      </c>
      <c r="Y16" s="6">
        <v>-10935.775963648452</v>
      </c>
      <c r="Z16" s="2">
        <f t="shared" si="3"/>
        <v>-10935775.963648451</v>
      </c>
      <c r="AA16" s="210">
        <v>-10935775.963648451</v>
      </c>
    </row>
    <row r="17" spans="1:27">
      <c r="A17" s="11">
        <v>11</v>
      </c>
      <c r="B17" s="11"/>
      <c r="C17" s="6">
        <v>599</v>
      </c>
      <c r="D17" s="6">
        <v>0</v>
      </c>
      <c r="E17" s="7">
        <v>114</v>
      </c>
      <c r="F17" s="7" t="s">
        <v>305</v>
      </c>
      <c r="G17" s="8">
        <v>58818.900329989097</v>
      </c>
      <c r="H17" s="8">
        <f t="shared" si="1"/>
        <v>58818900.329989098</v>
      </c>
      <c r="I17" s="8">
        <v>58818900.329989098</v>
      </c>
      <c r="J17" s="8">
        <v>-10737.587302610305</v>
      </c>
      <c r="K17" s="47">
        <f t="shared" si="2"/>
        <v>-10737587.302610306</v>
      </c>
      <c r="L17" s="8">
        <v>-10737587.302610306</v>
      </c>
      <c r="M17" s="14"/>
      <c r="Q17" s="6" t="s">
        <v>58</v>
      </c>
      <c r="R17" s="11" t="s">
        <v>15</v>
      </c>
      <c r="S17" s="6">
        <v>233.9</v>
      </c>
      <c r="T17" s="6">
        <v>458.9</v>
      </c>
      <c r="U17" s="6">
        <v>0</v>
      </c>
      <c r="V17" s="6">
        <v>58900.913189387327</v>
      </c>
      <c r="W17" s="8">
        <f t="shared" si="6"/>
        <v>58900913.189387329</v>
      </c>
      <c r="X17" s="6">
        <v>58900913.189387299</v>
      </c>
      <c r="Y17" s="6">
        <v>-10851.005788318649</v>
      </c>
      <c r="Z17" s="2">
        <f t="shared" si="3"/>
        <v>-10851005.788318649</v>
      </c>
      <c r="AA17" s="210">
        <v>-10851005.788318649</v>
      </c>
    </row>
    <row r="18" spans="1:27" ht="19.5" customHeight="1">
      <c r="A18" s="11">
        <v>12</v>
      </c>
      <c r="B18" s="11"/>
      <c r="C18" s="6">
        <v>695</v>
      </c>
      <c r="D18" s="6">
        <v>0</v>
      </c>
      <c r="E18" s="7">
        <v>116</v>
      </c>
      <c r="F18" s="7" t="s">
        <v>306</v>
      </c>
      <c r="G18" s="8">
        <v>58755.950059605704</v>
      </c>
      <c r="H18" s="8">
        <f t="shared" si="1"/>
        <v>58755950.059605703</v>
      </c>
      <c r="I18" s="8">
        <v>58755950.059605703</v>
      </c>
      <c r="J18" s="8">
        <v>-10666.733074956403</v>
      </c>
      <c r="K18" s="47">
        <f t="shared" si="2"/>
        <v>-10666733.074956402</v>
      </c>
      <c r="L18" s="8">
        <v>-10666733.074956402</v>
      </c>
      <c r="M18" s="14"/>
      <c r="Q18" s="6" t="s">
        <v>57</v>
      </c>
      <c r="R18" s="11" t="s">
        <v>16</v>
      </c>
      <c r="S18" s="6">
        <v>233.9</v>
      </c>
      <c r="T18" s="6">
        <v>458.9</v>
      </c>
      <c r="U18" s="6">
        <v>0</v>
      </c>
      <c r="V18" s="6">
        <v>58900.913189387327</v>
      </c>
      <c r="W18" s="8">
        <f t="shared" si="6"/>
        <v>58900913.189387329</v>
      </c>
      <c r="X18" s="6">
        <v>58900913.189387329</v>
      </c>
      <c r="Y18" s="6">
        <v>-10851.005788318649</v>
      </c>
      <c r="Z18" s="2">
        <f t="shared" si="3"/>
        <v>-10851005.788318649</v>
      </c>
      <c r="AA18" s="210">
        <v>-10851005.788318649</v>
      </c>
    </row>
    <row r="19" spans="1:27" ht="19.5" customHeight="1">
      <c r="A19" s="11">
        <v>14</v>
      </c>
      <c r="B19" s="11"/>
      <c r="C19" s="6">
        <v>786.2</v>
      </c>
      <c r="D19" s="6">
        <v>0</v>
      </c>
      <c r="E19" s="7">
        <v>117</v>
      </c>
      <c r="F19" s="232" t="s">
        <v>307</v>
      </c>
      <c r="G19" s="8">
        <v>58689.783644188174</v>
      </c>
      <c r="H19" s="8">
        <f t="shared" si="1"/>
        <v>58689783.644188173</v>
      </c>
      <c r="I19" s="8">
        <v>58689783.644188203</v>
      </c>
      <c r="J19" s="8">
        <v>-10602.264697207076</v>
      </c>
      <c r="K19" s="47">
        <f t="shared" si="2"/>
        <v>-10602264.697207076</v>
      </c>
      <c r="L19" s="8">
        <v>-10602264.697207101</v>
      </c>
      <c r="M19" s="14"/>
      <c r="Q19" s="6" t="s">
        <v>58</v>
      </c>
      <c r="R19" s="11" t="s">
        <v>17</v>
      </c>
      <c r="S19" s="6">
        <v>329.9</v>
      </c>
      <c r="T19" s="6">
        <v>554.9</v>
      </c>
      <c r="U19" s="6">
        <v>0</v>
      </c>
      <c r="V19" s="6">
        <v>58846.387129190101</v>
      </c>
      <c r="W19" s="8">
        <f t="shared" si="6"/>
        <v>58846387.129190102</v>
      </c>
      <c r="X19" s="6">
        <v>58846387.129190102</v>
      </c>
      <c r="Y19" s="6">
        <v>-10772.070622833242</v>
      </c>
      <c r="Z19" s="2">
        <f t="shared" si="3"/>
        <v>-10772070.622833243</v>
      </c>
      <c r="AA19" s="210">
        <v>-10772070.622833243</v>
      </c>
    </row>
    <row r="20" spans="1:27" ht="19.5" customHeight="1">
      <c r="A20" s="11">
        <v>15</v>
      </c>
      <c r="B20" s="11"/>
      <c r="C20" s="6">
        <v>849</v>
      </c>
      <c r="D20" s="6">
        <v>0</v>
      </c>
      <c r="E20" s="7">
        <v>120</v>
      </c>
      <c r="F20" s="232" t="s">
        <v>308</v>
      </c>
      <c r="G20" s="8">
        <v>58642.274174639737</v>
      </c>
      <c r="H20" s="8">
        <f t="shared" si="1"/>
        <v>58642274.174639739</v>
      </c>
      <c r="I20" s="8">
        <v>58642274.174639702</v>
      </c>
      <c r="J20" s="8">
        <v>-10561.204699562193</v>
      </c>
      <c r="K20" s="47">
        <f t="shared" si="2"/>
        <v>-10561204.699562194</v>
      </c>
      <c r="L20" s="8">
        <v>-10561204.699562194</v>
      </c>
      <c r="M20" s="14"/>
      <c r="Q20" s="6" t="s">
        <v>57</v>
      </c>
      <c r="R20" s="11" t="s">
        <v>18</v>
      </c>
      <c r="S20" s="6">
        <v>329.9</v>
      </c>
      <c r="T20" s="6">
        <v>554.9</v>
      </c>
      <c r="U20" s="6">
        <v>0</v>
      </c>
      <c r="V20" s="6">
        <v>58846.387129190101</v>
      </c>
      <c r="W20" s="8">
        <f t="shared" si="6"/>
        <v>58846387.129190102</v>
      </c>
      <c r="X20" s="6">
        <v>58846387.129190102</v>
      </c>
      <c r="Y20" s="6">
        <v>-10772.070622833242</v>
      </c>
      <c r="Z20" s="2">
        <f t="shared" si="3"/>
        <v>-10772070.622833243</v>
      </c>
      <c r="AA20" s="210">
        <v>-10772070.622833243</v>
      </c>
    </row>
    <row r="21" spans="1:27">
      <c r="A21" s="11">
        <v>16</v>
      </c>
      <c r="B21" s="11"/>
      <c r="C21" s="6">
        <v>949</v>
      </c>
      <c r="D21" s="6">
        <v>0</v>
      </c>
      <c r="E21" s="7">
        <v>122</v>
      </c>
      <c r="F21" s="7" t="s">
        <v>309</v>
      </c>
      <c r="G21" s="8">
        <v>58563.008280000002</v>
      </c>
      <c r="H21" s="8">
        <f t="shared" si="1"/>
        <v>58563008.280000001</v>
      </c>
      <c r="I21" s="8">
        <v>58563008.280000001</v>
      </c>
      <c r="J21" s="8">
        <v>-10500.26455</v>
      </c>
      <c r="K21" s="47">
        <f t="shared" si="2"/>
        <v>-10500264.550000001</v>
      </c>
      <c r="L21" s="8">
        <v>-10500264.550000001</v>
      </c>
      <c r="M21" s="14"/>
      <c r="Q21" s="6" t="s">
        <v>58</v>
      </c>
      <c r="R21" s="11" t="s">
        <v>19</v>
      </c>
      <c r="S21" s="6">
        <v>423.2</v>
      </c>
      <c r="T21" s="6">
        <v>648.20000000000005</v>
      </c>
      <c r="U21" s="6">
        <v>0</v>
      </c>
      <c r="V21" s="6">
        <v>58786.87467551032</v>
      </c>
      <c r="W21" s="8">
        <f t="shared" si="6"/>
        <v>58786874.675510317</v>
      </c>
      <c r="X21" s="6">
        <v>58786874.675510302</v>
      </c>
      <c r="Y21" s="6">
        <v>-10700.241505803535</v>
      </c>
      <c r="Z21" s="2">
        <f t="shared" si="3"/>
        <v>-10700241.505803535</v>
      </c>
      <c r="AA21" s="210">
        <v>-10700241.505803535</v>
      </c>
    </row>
    <row r="22" spans="1:27">
      <c r="A22" s="11">
        <v>17</v>
      </c>
      <c r="B22" s="11"/>
      <c r="C22" s="6">
        <v>1038</v>
      </c>
      <c r="D22" s="6">
        <v>0</v>
      </c>
      <c r="E22" s="7">
        <v>121</v>
      </c>
      <c r="F22" s="7" t="s">
        <v>310</v>
      </c>
      <c r="G22" s="8">
        <v>58491.634284568674</v>
      </c>
      <c r="H22" s="8">
        <f t="shared" si="1"/>
        <v>58491634.284568675</v>
      </c>
      <c r="I22" s="8">
        <v>58493240.689999998</v>
      </c>
      <c r="J22" s="8">
        <v>-10447.092002568046</v>
      </c>
      <c r="K22" s="47">
        <f t="shared" si="2"/>
        <v>-10447092.002568046</v>
      </c>
      <c r="L22" s="8">
        <v>-10447092.002568046</v>
      </c>
      <c r="M22" s="14"/>
      <c r="Q22" s="6" t="s">
        <v>57</v>
      </c>
      <c r="R22" s="11" t="s">
        <v>20</v>
      </c>
      <c r="S22" s="6">
        <v>423.2</v>
      </c>
      <c r="T22" s="6">
        <v>648.20000000000005</v>
      </c>
      <c r="U22" s="6">
        <v>0</v>
      </c>
      <c r="V22" s="6">
        <v>58786.87467551032</v>
      </c>
      <c r="W22" s="8">
        <f t="shared" si="6"/>
        <v>58786874.675510317</v>
      </c>
      <c r="X22" s="6">
        <v>58786874.675510317</v>
      </c>
      <c r="Y22" s="6">
        <v>-10700.241505803535</v>
      </c>
      <c r="Z22" s="2">
        <f t="shared" si="3"/>
        <v>-10700241.505803535</v>
      </c>
      <c r="AA22" s="210">
        <v>-10700241.505803535</v>
      </c>
    </row>
    <row r="23" spans="1:27">
      <c r="A23" s="11">
        <v>18</v>
      </c>
      <c r="B23" s="11"/>
      <c r="C23" s="6">
        <v>1131</v>
      </c>
      <c r="D23" s="6">
        <v>0</v>
      </c>
      <c r="E23" s="7">
        <v>124</v>
      </c>
      <c r="F23" s="7" t="s">
        <v>311</v>
      </c>
      <c r="G23" s="8">
        <v>58417.055140310695</v>
      </c>
      <c r="H23" s="8">
        <f t="shared" si="1"/>
        <v>58417055.140310697</v>
      </c>
      <c r="I23" s="8">
        <v>58417055.140310697</v>
      </c>
      <c r="J23" s="8">
        <v>-10391.531663820451</v>
      </c>
      <c r="K23" s="47">
        <f t="shared" si="2"/>
        <v>-10391531.663820451</v>
      </c>
      <c r="L23" s="8">
        <v>-10391531.6638205</v>
      </c>
      <c r="M23" s="14"/>
      <c r="Q23" s="6"/>
      <c r="R23" s="11"/>
      <c r="S23" s="6"/>
      <c r="T23" s="6"/>
      <c r="U23" s="6"/>
      <c r="V23" s="6"/>
      <c r="W23" s="8"/>
      <c r="X23" s="6"/>
      <c r="Y23" s="6"/>
      <c r="Z23" s="2"/>
      <c r="AA23" s="210"/>
    </row>
    <row r="24" spans="1:27">
      <c r="A24" s="10">
        <v>10</v>
      </c>
      <c r="B24" s="10"/>
      <c r="C24" s="2">
        <v>1159</v>
      </c>
      <c r="D24" s="2">
        <v>0</v>
      </c>
      <c r="E24" s="3" t="s">
        <v>2</v>
      </c>
      <c r="F24" s="3" t="s">
        <v>312</v>
      </c>
      <c r="G24" s="4">
        <v>58394.601204405066</v>
      </c>
      <c r="H24" s="4">
        <f t="shared" si="1"/>
        <v>58394601.204405069</v>
      </c>
      <c r="I24" s="4">
        <v>58394601.204405099</v>
      </c>
      <c r="J24" s="4">
        <v>-10374.803819896444</v>
      </c>
      <c r="K24" s="50">
        <f t="shared" si="2"/>
        <v>-10374803.819896445</v>
      </c>
      <c r="L24" s="2">
        <v>-10374803.819896445</v>
      </c>
      <c r="Q24" s="6" t="s">
        <v>58</v>
      </c>
      <c r="R24" s="11" t="s">
        <v>21</v>
      </c>
      <c r="S24" s="6">
        <v>522.79999999999995</v>
      </c>
      <c r="T24" s="6">
        <v>747.8</v>
      </c>
      <c r="U24" s="6">
        <v>0</v>
      </c>
      <c r="V24" s="6">
        <v>58717.836740127837</v>
      </c>
      <c r="W24" s="8">
        <f t="shared" si="6"/>
        <v>58717836.740127839</v>
      </c>
      <c r="X24" s="6">
        <v>58717836.740127802</v>
      </c>
      <c r="Y24" s="6">
        <v>-10628.484472110429</v>
      </c>
      <c r="Z24" s="2">
        <f t="shared" si="3"/>
        <v>-10628484.47211043</v>
      </c>
      <c r="AA24" s="210">
        <v>-10628484.47211043</v>
      </c>
    </row>
    <row r="25" spans="1:27">
      <c r="A25" s="51"/>
      <c r="B25" s="51"/>
      <c r="C25" s="52"/>
      <c r="D25" s="52"/>
      <c r="E25" s="42"/>
      <c r="F25" s="42"/>
      <c r="G25" s="53"/>
      <c r="H25" s="53"/>
      <c r="I25" s="54"/>
      <c r="J25" s="53"/>
      <c r="K25" s="55">
        <f t="shared" si="2"/>
        <v>0</v>
      </c>
      <c r="L25" s="56"/>
      <c r="M25" s="57"/>
      <c r="N25" s="52"/>
      <c r="Q25" s="6" t="s">
        <v>57</v>
      </c>
      <c r="R25" s="11" t="s">
        <v>22</v>
      </c>
      <c r="S25" s="6">
        <v>522.79999999999995</v>
      </c>
      <c r="T25" s="6">
        <v>747.8</v>
      </c>
      <c r="U25" s="6">
        <v>0</v>
      </c>
      <c r="V25" s="6">
        <v>58717.836740127837</v>
      </c>
      <c r="W25" s="8">
        <f t="shared" si="6"/>
        <v>58717836.740127839</v>
      </c>
      <c r="X25" s="6">
        <v>58717836.740127839</v>
      </c>
      <c r="Y25" s="6">
        <v>-10628.484472110429</v>
      </c>
      <c r="Z25" s="2">
        <f t="shared" si="3"/>
        <v>-10628484.47211043</v>
      </c>
      <c r="AA25" s="210">
        <v>-10628484.47211043</v>
      </c>
    </row>
    <row r="26" spans="1:27">
      <c r="Q26" s="6" t="s">
        <v>58</v>
      </c>
      <c r="R26" s="11" t="s">
        <v>23</v>
      </c>
      <c r="S26" s="6">
        <v>593</v>
      </c>
      <c r="T26" s="6">
        <v>818</v>
      </c>
      <c r="U26" s="6">
        <v>0</v>
      </c>
      <c r="V26" s="6">
        <v>58665.974182938728</v>
      </c>
      <c r="W26" s="8">
        <f t="shared" si="6"/>
        <v>58665974.182938725</v>
      </c>
      <c r="X26" s="6">
        <v>58665974.182938702</v>
      </c>
      <c r="Y26" s="6">
        <v>-10581.186292816623</v>
      </c>
      <c r="Z26" s="2">
        <f t="shared" si="3"/>
        <v>-10581186.292816622</v>
      </c>
      <c r="AA26" s="210">
        <v>-10581186.292816622</v>
      </c>
    </row>
    <row r="27" spans="1:27">
      <c r="Q27" s="6" t="s">
        <v>57</v>
      </c>
      <c r="R27" s="11" t="s">
        <v>24</v>
      </c>
      <c r="S27" s="6">
        <v>593</v>
      </c>
      <c r="T27" s="6">
        <v>818</v>
      </c>
      <c r="U27" s="6">
        <v>0</v>
      </c>
      <c r="V27" s="6">
        <v>58665.974182938728</v>
      </c>
      <c r="W27" s="8">
        <f t="shared" si="6"/>
        <v>58665974.182938725</v>
      </c>
      <c r="X27" s="6">
        <v>58665974.182938725</v>
      </c>
      <c r="Y27" s="6">
        <v>-10581.186292816623</v>
      </c>
      <c r="Z27" s="2">
        <f t="shared" si="3"/>
        <v>-10581186.292816622</v>
      </c>
      <c r="AA27" s="210">
        <v>-10581186.292816622</v>
      </c>
    </row>
    <row r="28" spans="1:27">
      <c r="Q28" s="6" t="s">
        <v>58</v>
      </c>
      <c r="R28" s="11" t="s">
        <v>25</v>
      </c>
      <c r="S28" s="6">
        <v>674</v>
      </c>
      <c r="T28" s="6">
        <v>899</v>
      </c>
      <c r="U28" s="6">
        <v>0</v>
      </c>
      <c r="V28" s="6">
        <v>58603.064515916652</v>
      </c>
      <c r="W28" s="8">
        <f t="shared" si="6"/>
        <v>58603064.515916653</v>
      </c>
      <c r="X28" s="6">
        <v>58603064.515916698</v>
      </c>
      <c r="Y28" s="6">
        <v>-10530.183827675246</v>
      </c>
      <c r="Z28" s="2">
        <f t="shared" si="3"/>
        <v>-10530183.827675246</v>
      </c>
      <c r="AA28" s="210">
        <v>-10530183.827675246</v>
      </c>
    </row>
    <row r="29" spans="1:27">
      <c r="Q29" s="6" t="s">
        <v>57</v>
      </c>
      <c r="R29" s="11" t="s">
        <v>26</v>
      </c>
      <c r="S29" s="6">
        <v>674</v>
      </c>
      <c r="T29" s="6">
        <v>899</v>
      </c>
      <c r="U29" s="6">
        <v>0</v>
      </c>
      <c r="V29" s="6">
        <v>58603.064515916652</v>
      </c>
      <c r="W29" s="8">
        <f t="shared" si="6"/>
        <v>58603064.515916653</v>
      </c>
      <c r="X29" s="6">
        <v>58603064.515916653</v>
      </c>
      <c r="Y29" s="6">
        <v>-10530.183827675246</v>
      </c>
      <c r="Z29" s="2">
        <f t="shared" si="3"/>
        <v>-10530183.827675246</v>
      </c>
      <c r="AA29" s="210">
        <v>-10530183.827675246</v>
      </c>
    </row>
    <row r="30" spans="1:27">
      <c r="Q30" s="6" t="s">
        <v>58</v>
      </c>
      <c r="R30" s="11">
        <v>27</v>
      </c>
      <c r="S30" s="6"/>
      <c r="T30" s="6">
        <v>994</v>
      </c>
      <c r="U30" s="6">
        <v>0</v>
      </c>
      <c r="V30" s="6">
        <v>58526.919040991808</v>
      </c>
      <c r="W30" s="8">
        <f t="shared" si="6"/>
        <v>58526919.040991805</v>
      </c>
      <c r="X30" s="6">
        <v>58526919.040991798</v>
      </c>
      <c r="Y30" s="6">
        <v>-10473.378614448629</v>
      </c>
      <c r="Z30" s="2">
        <f t="shared" si="3"/>
        <v>-10473378.614448629</v>
      </c>
      <c r="AA30" s="210">
        <v>-10473378.614448629</v>
      </c>
    </row>
    <row r="31" spans="1:27">
      <c r="Q31" s="6" t="s">
        <v>57</v>
      </c>
      <c r="R31" s="11">
        <v>28</v>
      </c>
      <c r="S31" s="6"/>
      <c r="T31" s="6">
        <v>994</v>
      </c>
      <c r="U31" s="6">
        <v>0</v>
      </c>
      <c r="V31" s="6">
        <v>58526.919040991808</v>
      </c>
      <c r="W31" s="8">
        <f t="shared" si="6"/>
        <v>58526919.040991805</v>
      </c>
      <c r="X31" s="6">
        <v>58526919.040991805</v>
      </c>
      <c r="Y31" s="6">
        <v>-10473.378614448629</v>
      </c>
      <c r="Z31" s="2">
        <f t="shared" si="3"/>
        <v>-10473378.614448629</v>
      </c>
      <c r="AA31" s="210">
        <v>-10473378.614448629</v>
      </c>
    </row>
    <row r="32" spans="1:27">
      <c r="Q32" s="6" t="s">
        <v>58</v>
      </c>
      <c r="R32" s="11">
        <v>29</v>
      </c>
      <c r="S32" s="6"/>
      <c r="T32" s="6">
        <v>1085</v>
      </c>
      <c r="U32" s="6">
        <v>0</v>
      </c>
      <c r="V32" s="6">
        <v>58453.943749298516</v>
      </c>
      <c r="W32" s="8">
        <f t="shared" si="6"/>
        <v>58453943.749298513</v>
      </c>
      <c r="X32" s="6">
        <v>58453943.749298513</v>
      </c>
      <c r="Y32" s="6">
        <v>-10419.013121695605</v>
      </c>
      <c r="Z32" s="2">
        <f t="shared" si="3"/>
        <v>-10419013.121695606</v>
      </c>
      <c r="AA32" s="210">
        <v>-10419013.121695606</v>
      </c>
    </row>
    <row r="33" spans="17:29">
      <c r="Q33" s="6" t="s">
        <v>57</v>
      </c>
      <c r="R33" s="11">
        <v>30</v>
      </c>
      <c r="S33" s="6"/>
      <c r="T33" s="6">
        <v>1085</v>
      </c>
      <c r="U33" s="6">
        <v>0</v>
      </c>
      <c r="V33" s="6">
        <v>58453.943749298516</v>
      </c>
      <c r="W33" s="8">
        <f t="shared" si="6"/>
        <v>58453943.749298513</v>
      </c>
      <c r="X33" s="6">
        <v>58453943.749298498</v>
      </c>
      <c r="Y33" s="6">
        <v>-10419.013121695605</v>
      </c>
      <c r="Z33" s="2">
        <f t="shared" si="3"/>
        <v>-10419013.121695606</v>
      </c>
      <c r="AA33" s="210">
        <v>-10419013.1216956</v>
      </c>
    </row>
    <row r="34" spans="17:29">
      <c r="Q34" s="207" t="s">
        <v>58</v>
      </c>
      <c r="R34" s="208">
        <v>35</v>
      </c>
      <c r="S34" s="207"/>
      <c r="T34" s="207">
        <v>1178</v>
      </c>
      <c r="U34" s="207">
        <v>0</v>
      </c>
      <c r="V34" s="207">
        <v>58379.364605040537</v>
      </c>
      <c r="W34" s="243">
        <f t="shared" si="6"/>
        <v>58379364.605040535</v>
      </c>
      <c r="X34" s="207">
        <v>58392997.351840399</v>
      </c>
      <c r="Y34" s="207">
        <v>-10363.45278294801</v>
      </c>
      <c r="Z34" s="2">
        <f t="shared" si="3"/>
        <v>-10363452.78294801</v>
      </c>
      <c r="AA34" s="210">
        <v>-10419013.1216956</v>
      </c>
      <c r="AC34" s="212"/>
    </row>
    <row r="35" spans="17:29">
      <c r="Q35" s="207" t="s">
        <v>57</v>
      </c>
      <c r="R35" s="208">
        <v>36</v>
      </c>
      <c r="S35" s="207"/>
      <c r="T35" s="207">
        <v>1178</v>
      </c>
      <c r="U35" s="207">
        <v>0</v>
      </c>
      <c r="V35" s="207">
        <v>58379.364605040537</v>
      </c>
      <c r="W35" s="243">
        <f t="shared" si="6"/>
        <v>58379364.605040535</v>
      </c>
      <c r="X35" s="207">
        <v>58392997.351840377</v>
      </c>
      <c r="Y35" s="207">
        <v>-10363.45278294801</v>
      </c>
      <c r="Z35" s="2">
        <f t="shared" si="3"/>
        <v>-10363452.78294801</v>
      </c>
      <c r="AA35" s="210">
        <v>-10373608.973901872</v>
      </c>
      <c r="AC35" s="212"/>
    </row>
    <row r="36" spans="17:29">
      <c r="Q36" s="207" t="s">
        <v>58</v>
      </c>
      <c r="R36" s="208">
        <v>37</v>
      </c>
      <c r="S36" s="207"/>
      <c r="T36" s="207">
        <v>1272</v>
      </c>
      <c r="U36" s="207">
        <v>0</v>
      </c>
      <c r="V36" s="207">
        <v>58304.528509134943</v>
      </c>
      <c r="W36" s="243"/>
      <c r="X36" s="207"/>
      <c r="Y36" s="207">
        <v>-10306.582849602919</v>
      </c>
      <c r="Z36" s="2"/>
      <c r="AA36" s="210"/>
      <c r="AC36" s="212"/>
    </row>
    <row r="37" spans="17:29">
      <c r="Q37" s="207" t="s">
        <v>57</v>
      </c>
      <c r="R37" s="208">
        <v>38</v>
      </c>
      <c r="S37" s="207"/>
      <c r="T37" s="207">
        <v>1272</v>
      </c>
      <c r="U37" s="207">
        <v>0</v>
      </c>
      <c r="V37" s="207">
        <v>58304.528509134943</v>
      </c>
      <c r="W37" s="243"/>
      <c r="X37" s="207"/>
      <c r="Y37" s="207">
        <v>-10306.582849602919</v>
      </c>
      <c r="Z37" s="2"/>
      <c r="AA37" s="210"/>
      <c r="AC37" s="212"/>
    </row>
    <row r="38" spans="17:29">
      <c r="Q38" s="440" t="s">
        <v>29</v>
      </c>
      <c r="R38" s="441"/>
      <c r="S38" s="441"/>
      <c r="T38" s="441"/>
      <c r="U38" s="441"/>
      <c r="V38" s="44"/>
      <c r="W38" s="44"/>
      <c r="X38" s="44"/>
      <c r="Y38" s="45"/>
      <c r="Z38" s="2">
        <f t="shared" si="3"/>
        <v>0</v>
      </c>
      <c r="AA38" s="210"/>
    </row>
    <row r="39" spans="17:29">
      <c r="Q39" s="6" t="s">
        <v>58</v>
      </c>
      <c r="R39" s="11">
        <v>10</v>
      </c>
      <c r="S39" s="6"/>
      <c r="T39" s="6">
        <v>225</v>
      </c>
      <c r="U39" s="6">
        <v>-3.7</v>
      </c>
      <c r="V39" s="6">
        <v>59022.590114600003</v>
      </c>
      <c r="W39" s="6">
        <f>V39*1000</f>
        <v>59022590.114600003</v>
      </c>
      <c r="X39" s="6">
        <v>59022590.114600003</v>
      </c>
      <c r="Y39" s="6">
        <v>-11050.7168029</v>
      </c>
      <c r="Z39" s="2">
        <f t="shared" si="3"/>
        <v>-11050716.8029</v>
      </c>
      <c r="AA39" s="210">
        <v>-11050716.8029</v>
      </c>
    </row>
    <row r="40" spans="17:29">
      <c r="Q40" s="6" t="s">
        <v>58</v>
      </c>
      <c r="R40" s="11">
        <v>11</v>
      </c>
      <c r="S40" s="6"/>
      <c r="T40" s="6">
        <v>276.60000000000002</v>
      </c>
      <c r="U40" s="6">
        <v>0</v>
      </c>
      <c r="V40" s="6">
        <v>59044.8540765</v>
      </c>
      <c r="W40" s="6">
        <f t="shared" ref="W40:W43" si="7">V40*1000</f>
        <v>59044854.076499999</v>
      </c>
      <c r="X40" s="6">
        <v>59044854.076499999</v>
      </c>
      <c r="Y40" s="6">
        <v>-11097.398668400001</v>
      </c>
      <c r="Z40" s="2">
        <f t="shared" si="3"/>
        <v>-11097398.668400001</v>
      </c>
      <c r="AA40" s="210">
        <v>-11097398.668400001</v>
      </c>
    </row>
    <row r="41" spans="17:29">
      <c r="Q41" s="6" t="s">
        <v>57</v>
      </c>
      <c r="R41" s="11">
        <v>12</v>
      </c>
      <c r="S41" s="6"/>
      <c r="T41" s="6">
        <v>276.60000000000002</v>
      </c>
      <c r="U41" s="6">
        <v>0</v>
      </c>
      <c r="V41" s="6">
        <v>59044.8540765</v>
      </c>
      <c r="W41" s="6">
        <f t="shared" si="7"/>
        <v>59044854.076499999</v>
      </c>
      <c r="X41" s="6">
        <v>59044854.076499999</v>
      </c>
      <c r="Y41" s="6">
        <v>-11097.398668400001</v>
      </c>
      <c r="Z41" s="2">
        <f t="shared" si="3"/>
        <v>-11097398.668400001</v>
      </c>
      <c r="AA41" s="210">
        <v>-11097398.668400001</v>
      </c>
    </row>
    <row r="42" spans="17:29">
      <c r="Q42" s="6" t="s">
        <v>58</v>
      </c>
      <c r="R42" s="11">
        <v>33</v>
      </c>
      <c r="S42" s="6"/>
      <c r="T42" s="6">
        <v>381.6</v>
      </c>
      <c r="U42" s="6">
        <v>0</v>
      </c>
      <c r="V42" s="6">
        <v>59096.395253137118</v>
      </c>
      <c r="W42" s="6">
        <f t="shared" si="7"/>
        <v>59096395.253137119</v>
      </c>
      <c r="X42" s="6">
        <v>59096395.253137097</v>
      </c>
      <c r="Y42" s="6">
        <v>-11188.889858173767</v>
      </c>
      <c r="Z42" s="2">
        <f t="shared" si="3"/>
        <v>-11188889.858173767</v>
      </c>
      <c r="AA42" s="210">
        <v>-11188889.858173801</v>
      </c>
    </row>
    <row r="43" spans="17:29">
      <c r="Q43" s="6" t="s">
        <v>57</v>
      </c>
      <c r="R43" s="11">
        <v>34</v>
      </c>
      <c r="S43" s="6"/>
      <c r="T43" s="6">
        <v>381.6</v>
      </c>
      <c r="U43" s="6">
        <v>0</v>
      </c>
      <c r="V43" s="6">
        <v>59096.395253137118</v>
      </c>
      <c r="W43" s="6">
        <f t="shared" si="7"/>
        <v>59096395.253137119</v>
      </c>
      <c r="X43" s="6">
        <v>59096395.253137119</v>
      </c>
      <c r="Y43" s="6">
        <v>-11188.889858173767</v>
      </c>
      <c r="Z43" s="2">
        <f t="shared" si="3"/>
        <v>-11188889.858173767</v>
      </c>
      <c r="AA43" s="210">
        <v>-11188889.858173767</v>
      </c>
    </row>
    <row r="44" spans="17:29">
      <c r="Q44" s="207" t="s">
        <v>58</v>
      </c>
      <c r="R44" s="208">
        <v>39</v>
      </c>
      <c r="S44" s="209"/>
      <c r="T44" s="209">
        <v>475</v>
      </c>
      <c r="U44" s="209">
        <v>0</v>
      </c>
      <c r="V44" s="209">
        <v>59142.230671992875</v>
      </c>
      <c r="W44" s="209"/>
      <c r="X44" s="209"/>
      <c r="Y44" s="209">
        <v>-11270.269673719864</v>
      </c>
    </row>
    <row r="45" spans="17:29">
      <c r="Q45" s="209" t="s">
        <v>57</v>
      </c>
      <c r="R45" s="208">
        <v>40</v>
      </c>
      <c r="S45" s="209"/>
      <c r="T45" s="209">
        <v>475</v>
      </c>
      <c r="U45" s="209">
        <v>0</v>
      </c>
      <c r="V45" s="209">
        <v>59142.230671992875</v>
      </c>
      <c r="W45" s="209"/>
      <c r="X45" s="209"/>
      <c r="Y45" s="209">
        <v>-11270.269673719864</v>
      </c>
    </row>
    <row r="48" spans="17:29">
      <c r="Z48" s="1">
        <f t="shared" ref="Z48:Z49" si="8">Y48*1000</f>
        <v>0</v>
      </c>
    </row>
    <row r="49" spans="26:26">
      <c r="Z49" s="1">
        <f t="shared" si="8"/>
        <v>0</v>
      </c>
    </row>
  </sheetData>
  <mergeCells count="12">
    <mergeCell ref="Q38:U38"/>
    <mergeCell ref="A2:A3"/>
    <mergeCell ref="C2:C3"/>
    <mergeCell ref="D2:D3"/>
    <mergeCell ref="E2:E3"/>
    <mergeCell ref="F2:F3"/>
    <mergeCell ref="G2:L2"/>
    <mergeCell ref="A4:F4"/>
    <mergeCell ref="Q4:U4"/>
    <mergeCell ref="A9:F9"/>
    <mergeCell ref="A13:F13"/>
    <mergeCell ref="Q13:U13"/>
  </mergeCells>
  <phoneticPr fontId="2"/>
  <pageMargins left="0.7" right="0.7" top="0.75" bottom="0.75" header="0.3" footer="0.3"/>
  <pageSetup paperSize="8" scale="8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BE29"/>
  <sheetViews>
    <sheetView zoomScale="70" zoomScaleNormal="70" workbookViewId="0"/>
  </sheetViews>
  <sheetFormatPr baseColWidth="10" defaultColWidth="8.83203125" defaultRowHeight="18"/>
  <cols>
    <col min="1" max="2" width="4.5" customWidth="1"/>
    <col min="3" max="9" width="8.33203125" style="185" bestFit="1" customWidth="1"/>
    <col min="10" max="10" width="11.6640625" style="185" bestFit="1" customWidth="1"/>
    <col min="11" max="11" width="8.33203125" style="185" bestFit="1" customWidth="1"/>
    <col min="12" max="38" width="8.83203125" style="185"/>
  </cols>
  <sheetData>
    <row r="1" spans="2:39" ht="19" thickBot="1"/>
    <row r="2" spans="2:39">
      <c r="B2" s="345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248"/>
    </row>
    <row r="3" spans="2:39">
      <c r="B3" s="249"/>
      <c r="C3" s="351"/>
      <c r="D3" s="351"/>
      <c r="E3" s="351"/>
      <c r="F3" s="351"/>
      <c r="G3" s="351"/>
      <c r="H3" s="351"/>
      <c r="I3" s="351"/>
      <c r="K3" s="351"/>
      <c r="L3" s="351"/>
      <c r="M3" s="351"/>
      <c r="N3" s="351"/>
      <c r="O3" s="351"/>
      <c r="P3" s="351"/>
      <c r="Q3" s="351"/>
      <c r="R3" s="351"/>
      <c r="S3" s="351"/>
      <c r="T3" s="351"/>
      <c r="U3" s="351"/>
      <c r="V3" s="351"/>
      <c r="W3" s="351"/>
      <c r="X3" s="351"/>
      <c r="Y3" s="351"/>
      <c r="Z3" s="351"/>
      <c r="AA3" s="351"/>
      <c r="AB3" s="351"/>
      <c r="AC3" s="351"/>
      <c r="AD3" s="351"/>
      <c r="AE3" s="351"/>
      <c r="AF3" s="351"/>
      <c r="AG3" s="351"/>
      <c r="AH3" s="351"/>
      <c r="AI3" s="351"/>
      <c r="AJ3" s="351"/>
      <c r="AK3" s="351"/>
      <c r="AL3" s="351"/>
      <c r="AM3" s="251"/>
    </row>
    <row r="4" spans="2:39">
      <c r="B4" s="249"/>
      <c r="C4" s="351"/>
      <c r="D4" s="351"/>
      <c r="E4" s="351"/>
      <c r="F4" s="351"/>
      <c r="G4" s="351"/>
      <c r="H4" s="351"/>
      <c r="I4" s="351"/>
      <c r="J4" s="348" t="s">
        <v>479</v>
      </c>
      <c r="K4" s="351"/>
      <c r="L4" s="351"/>
      <c r="M4" s="351"/>
      <c r="N4" s="351"/>
      <c r="O4" s="351"/>
      <c r="P4" s="351"/>
      <c r="Q4" s="351"/>
      <c r="R4" s="351"/>
      <c r="S4" s="351"/>
      <c r="T4" s="351"/>
      <c r="U4" s="351"/>
      <c r="V4" s="351"/>
      <c r="W4" s="351"/>
      <c r="X4" s="351"/>
      <c r="Y4" s="351"/>
      <c r="Z4" s="351"/>
      <c r="AA4" s="351"/>
      <c r="AB4" s="351"/>
      <c r="AC4" s="351"/>
      <c r="AD4" s="351"/>
      <c r="AE4" s="351"/>
      <c r="AF4" s="351"/>
      <c r="AG4" s="351"/>
      <c r="AH4" s="351"/>
      <c r="AI4" s="351"/>
      <c r="AJ4" s="351"/>
      <c r="AK4" s="351"/>
      <c r="AL4" s="351"/>
      <c r="AM4" s="251"/>
    </row>
    <row r="5" spans="2:39">
      <c r="B5" s="249"/>
      <c r="C5" s="351"/>
      <c r="D5" s="351"/>
      <c r="E5" s="351"/>
      <c r="F5" s="351"/>
      <c r="G5" s="351"/>
      <c r="H5" s="351"/>
      <c r="I5" s="351"/>
      <c r="J5" s="24" t="s">
        <v>408</v>
      </c>
      <c r="K5" s="351"/>
      <c r="L5" s="351"/>
      <c r="M5" s="351"/>
      <c r="N5" s="351"/>
      <c r="O5" s="351"/>
      <c r="P5" s="351"/>
      <c r="Q5" s="351"/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1"/>
      <c r="AC5" s="351"/>
      <c r="AD5" s="351"/>
      <c r="AE5" s="351"/>
      <c r="AF5" s="351"/>
      <c r="AG5" s="351"/>
      <c r="AH5" s="351"/>
      <c r="AI5" s="351"/>
      <c r="AJ5" s="351"/>
      <c r="AK5" s="351"/>
      <c r="AL5" s="351"/>
      <c r="AM5" s="251"/>
    </row>
    <row r="6" spans="2:39">
      <c r="B6" s="249"/>
      <c r="C6" s="351"/>
      <c r="D6" s="351"/>
      <c r="E6" s="351"/>
      <c r="F6" s="351"/>
      <c r="G6" s="351"/>
      <c r="H6" s="351"/>
      <c r="I6" s="351"/>
      <c r="J6" s="24" t="s">
        <v>409</v>
      </c>
      <c r="K6" s="351"/>
      <c r="L6" s="351"/>
      <c r="M6" s="351"/>
      <c r="N6" s="351"/>
      <c r="O6" s="351"/>
      <c r="P6" s="351"/>
      <c r="Q6" s="351"/>
      <c r="R6" s="351"/>
      <c r="S6" s="351"/>
      <c r="T6" s="351"/>
      <c r="U6" s="351"/>
      <c r="V6" s="351"/>
      <c r="W6" s="351"/>
      <c r="X6" s="351"/>
      <c r="Y6" s="351"/>
      <c r="Z6" s="351"/>
      <c r="AA6" s="351"/>
      <c r="AB6" s="351"/>
      <c r="AC6" s="351"/>
      <c r="AD6" s="351"/>
      <c r="AE6" s="351"/>
      <c r="AF6" s="351"/>
      <c r="AG6" s="351"/>
      <c r="AH6" s="351"/>
      <c r="AI6" s="351"/>
      <c r="AJ6" s="351"/>
      <c r="AK6" s="351"/>
      <c r="AL6" s="351"/>
      <c r="AM6" s="251"/>
    </row>
    <row r="7" spans="2:39">
      <c r="B7" s="249"/>
      <c r="C7" s="351"/>
      <c r="D7" s="344" t="s">
        <v>424</v>
      </c>
      <c r="E7" s="24" t="s">
        <v>395</v>
      </c>
      <c r="F7" s="344" t="s">
        <v>248</v>
      </c>
      <c r="G7" s="24" t="s">
        <v>397</v>
      </c>
      <c r="H7" s="344" t="s">
        <v>480</v>
      </c>
      <c r="I7" s="24" t="s">
        <v>392</v>
      </c>
      <c r="J7" s="24" t="s">
        <v>407</v>
      </c>
      <c r="K7" s="348" t="s">
        <v>453</v>
      </c>
      <c r="L7" s="24" t="s">
        <v>421</v>
      </c>
      <c r="M7" s="348" t="s">
        <v>425</v>
      </c>
      <c r="N7" s="24" t="s">
        <v>457</v>
      </c>
      <c r="O7" s="348" t="s">
        <v>426</v>
      </c>
      <c r="P7" s="24" t="s">
        <v>459</v>
      </c>
      <c r="Q7" s="348" t="s">
        <v>394</v>
      </c>
      <c r="R7" s="24" t="s">
        <v>461</v>
      </c>
      <c r="S7" s="348" t="s">
        <v>454</v>
      </c>
      <c r="T7" s="24" t="s">
        <v>463</v>
      </c>
      <c r="U7" s="348" t="s">
        <v>455</v>
      </c>
      <c r="V7" s="24" t="s">
        <v>465</v>
      </c>
      <c r="W7" s="348" t="s">
        <v>442</v>
      </c>
      <c r="X7" s="24" t="s">
        <v>467</v>
      </c>
      <c r="Y7" s="348" t="s">
        <v>456</v>
      </c>
      <c r="Z7" s="24" t="s">
        <v>469</v>
      </c>
      <c r="AA7" s="348" t="s">
        <v>438</v>
      </c>
      <c r="AB7" s="24" t="s">
        <v>471</v>
      </c>
      <c r="AC7" s="348" t="s">
        <v>452</v>
      </c>
      <c r="AD7" s="24" t="s">
        <v>473</v>
      </c>
      <c r="AE7" s="348" t="s">
        <v>397</v>
      </c>
      <c r="AF7" s="24" t="s">
        <v>475</v>
      </c>
      <c r="AG7" s="348" t="s">
        <v>437</v>
      </c>
      <c r="AH7" s="24" t="s">
        <v>359</v>
      </c>
      <c r="AI7" s="348" t="s">
        <v>427</v>
      </c>
      <c r="AJ7" s="24" t="s">
        <v>338</v>
      </c>
      <c r="AK7" s="24" t="s">
        <v>165</v>
      </c>
      <c r="AL7" s="351"/>
      <c r="AM7" s="354"/>
    </row>
    <row r="8" spans="2:39" ht="38">
      <c r="B8" s="249"/>
      <c r="C8" s="290" t="s">
        <v>406</v>
      </c>
      <c r="D8" s="343" t="s">
        <v>405</v>
      </c>
      <c r="E8" s="343" t="s">
        <v>401</v>
      </c>
      <c r="F8" s="343" t="s">
        <v>404</v>
      </c>
      <c r="G8" s="343" t="s">
        <v>402</v>
      </c>
      <c r="H8" s="343" t="s">
        <v>403</v>
      </c>
      <c r="I8" s="343" t="s">
        <v>400</v>
      </c>
      <c r="J8" s="291" t="s">
        <v>386</v>
      </c>
      <c r="K8" s="343" t="s">
        <v>393</v>
      </c>
      <c r="L8" s="343" t="s">
        <v>443</v>
      </c>
      <c r="M8" s="343" t="s">
        <v>410</v>
      </c>
      <c r="N8" s="343" t="s">
        <v>444</v>
      </c>
      <c r="O8" s="343" t="s">
        <v>445</v>
      </c>
      <c r="P8" s="343" t="s">
        <v>418</v>
      </c>
      <c r="Q8" s="343" t="s">
        <v>419</v>
      </c>
      <c r="R8" s="343" t="s">
        <v>446</v>
      </c>
      <c r="S8" s="343" t="s">
        <v>420</v>
      </c>
      <c r="T8" s="343" t="s">
        <v>447</v>
      </c>
      <c r="U8" s="343" t="s">
        <v>448</v>
      </c>
      <c r="V8" s="343" t="s">
        <v>449</v>
      </c>
      <c r="W8" s="343" t="s">
        <v>450</v>
      </c>
      <c r="X8" s="343" t="s">
        <v>441</v>
      </c>
      <c r="Y8" s="343" t="s">
        <v>440</v>
      </c>
      <c r="Z8" s="343" t="s">
        <v>439</v>
      </c>
      <c r="AA8" s="343" t="s">
        <v>436</v>
      </c>
      <c r="AB8" s="343" t="s">
        <v>435</v>
      </c>
      <c r="AC8" s="343" t="s">
        <v>434</v>
      </c>
      <c r="AD8" s="343" t="s">
        <v>433</v>
      </c>
      <c r="AE8" s="343" t="s">
        <v>432</v>
      </c>
      <c r="AF8" s="343" t="s">
        <v>431</v>
      </c>
      <c r="AG8" s="343" t="s">
        <v>430</v>
      </c>
      <c r="AH8" s="343" t="s">
        <v>429</v>
      </c>
      <c r="AI8" s="343" t="s">
        <v>428</v>
      </c>
      <c r="AJ8" s="290" t="s">
        <v>451</v>
      </c>
      <c r="AK8" s="290" t="s">
        <v>478</v>
      </c>
      <c r="AL8" s="351"/>
      <c r="AM8" s="354"/>
    </row>
    <row r="9" spans="2:39">
      <c r="B9" s="249"/>
      <c r="C9" s="352"/>
      <c r="D9" s="349"/>
      <c r="E9" s="24" t="s">
        <v>396</v>
      </c>
      <c r="G9" s="24" t="s">
        <v>398</v>
      </c>
      <c r="I9" s="24" t="s">
        <v>399</v>
      </c>
      <c r="J9" s="24" t="s">
        <v>423</v>
      </c>
      <c r="K9" s="351"/>
      <c r="L9" s="24" t="s">
        <v>422</v>
      </c>
      <c r="M9" s="351"/>
      <c r="N9" s="24" t="s">
        <v>458</v>
      </c>
      <c r="O9" s="351"/>
      <c r="P9" s="24" t="s">
        <v>460</v>
      </c>
      <c r="Q9" s="351"/>
      <c r="R9" s="24" t="s">
        <v>462</v>
      </c>
      <c r="S9" s="351"/>
      <c r="T9" s="24" t="s">
        <v>464</v>
      </c>
      <c r="U9" s="351"/>
      <c r="V9" s="24" t="s">
        <v>466</v>
      </c>
      <c r="W9" s="351"/>
      <c r="X9" s="24" t="s">
        <v>468</v>
      </c>
      <c r="Y9" s="351"/>
      <c r="Z9" s="24" t="s">
        <v>470</v>
      </c>
      <c r="AA9" s="351"/>
      <c r="AB9" s="24" t="s">
        <v>472</v>
      </c>
      <c r="AC9" s="351"/>
      <c r="AD9" s="24" t="s">
        <v>474</v>
      </c>
      <c r="AE9" s="351"/>
      <c r="AF9" s="24" t="s">
        <v>476</v>
      </c>
      <c r="AG9" s="351"/>
      <c r="AH9" s="24" t="s">
        <v>477</v>
      </c>
      <c r="AI9" s="351"/>
      <c r="AJ9" s="24" t="s">
        <v>339</v>
      </c>
      <c r="AK9" s="24" t="s">
        <v>166</v>
      </c>
      <c r="AL9" s="351"/>
      <c r="AM9" s="354"/>
    </row>
    <row r="10" spans="2:39">
      <c r="B10" s="249"/>
      <c r="C10" s="351"/>
      <c r="D10" s="351"/>
      <c r="E10" s="351"/>
      <c r="F10" s="351"/>
      <c r="G10" s="351"/>
      <c r="H10" s="351"/>
      <c r="I10" s="344" t="s">
        <v>415</v>
      </c>
      <c r="J10" s="292" t="s">
        <v>387</v>
      </c>
      <c r="K10" s="349"/>
      <c r="L10" s="349"/>
      <c r="M10" s="351"/>
      <c r="N10" s="351"/>
      <c r="O10" s="351"/>
      <c r="P10" s="351"/>
      <c r="Q10" s="351"/>
      <c r="R10" s="351"/>
      <c r="S10" s="351"/>
      <c r="T10" s="351"/>
      <c r="U10" s="351"/>
      <c r="V10" s="351"/>
      <c r="W10" s="351"/>
      <c r="X10" s="351"/>
      <c r="Y10" s="351"/>
      <c r="Z10" s="351"/>
      <c r="AA10" s="351"/>
      <c r="AB10" s="351"/>
      <c r="AC10" s="351"/>
      <c r="AD10" s="351"/>
      <c r="AE10" s="351"/>
      <c r="AF10" s="351"/>
      <c r="AG10" s="351"/>
      <c r="AH10" s="351"/>
      <c r="AI10" s="351"/>
      <c r="AJ10" s="351"/>
      <c r="AK10" s="351"/>
      <c r="AL10" s="351"/>
      <c r="AM10" s="251"/>
    </row>
    <row r="11" spans="2:39">
      <c r="B11" s="249"/>
      <c r="C11" s="351"/>
      <c r="D11" s="351"/>
      <c r="E11" s="351"/>
      <c r="F11" s="351"/>
      <c r="G11" s="351"/>
      <c r="H11" s="351"/>
      <c r="I11" s="24" t="s">
        <v>411</v>
      </c>
      <c r="J11" s="292" t="s">
        <v>388</v>
      </c>
      <c r="K11" s="347" t="s">
        <v>413</v>
      </c>
      <c r="L11" s="351"/>
      <c r="M11" s="351"/>
      <c r="N11" s="351"/>
      <c r="O11" s="351"/>
      <c r="P11" s="351"/>
      <c r="Q11" s="351"/>
      <c r="R11" s="351"/>
      <c r="S11" s="351"/>
      <c r="T11" s="351"/>
      <c r="U11" s="351"/>
      <c r="V11" s="351"/>
      <c r="W11" s="351"/>
      <c r="X11" s="351"/>
      <c r="Y11" s="351"/>
      <c r="Z11" s="351"/>
      <c r="AA11" s="351"/>
      <c r="AB11" s="351"/>
      <c r="AC11" s="351"/>
      <c r="AD11" s="351"/>
      <c r="AE11" s="351"/>
      <c r="AF11" s="351"/>
      <c r="AG11" s="351"/>
      <c r="AH11" s="351"/>
      <c r="AI11" s="351"/>
      <c r="AJ11" s="351"/>
      <c r="AK11" s="351"/>
      <c r="AL11" s="351"/>
      <c r="AM11" s="251"/>
    </row>
    <row r="12" spans="2:39">
      <c r="B12" s="249"/>
      <c r="C12" s="351"/>
      <c r="D12" s="351"/>
      <c r="E12" s="351"/>
      <c r="F12" s="351"/>
      <c r="G12" s="351"/>
      <c r="H12" s="351"/>
      <c r="I12" s="344" t="s">
        <v>416</v>
      </c>
      <c r="J12" s="292" t="s">
        <v>389</v>
      </c>
      <c r="L12" s="351"/>
      <c r="M12" s="351"/>
      <c r="N12" s="351"/>
      <c r="O12" s="351"/>
      <c r="P12" s="351"/>
      <c r="Q12" s="351"/>
      <c r="R12" s="351"/>
      <c r="S12" s="351"/>
      <c r="T12" s="351"/>
      <c r="U12" s="351"/>
      <c r="V12" s="351"/>
      <c r="W12" s="351"/>
      <c r="X12" s="351"/>
      <c r="Y12" s="351"/>
      <c r="Z12" s="351"/>
      <c r="AA12" s="351"/>
      <c r="AB12" s="351"/>
      <c r="AC12" s="351"/>
      <c r="AD12" s="351"/>
      <c r="AE12" s="351"/>
      <c r="AF12" s="351"/>
      <c r="AG12" s="351"/>
      <c r="AH12" s="351"/>
      <c r="AI12" s="351"/>
      <c r="AJ12" s="351"/>
      <c r="AK12" s="351"/>
      <c r="AL12" s="351"/>
      <c r="AM12" s="251"/>
    </row>
    <row r="13" spans="2:39">
      <c r="B13" s="249"/>
      <c r="C13" s="351"/>
      <c r="D13" s="351"/>
      <c r="E13" s="351"/>
      <c r="F13" s="351"/>
      <c r="G13" s="351"/>
      <c r="H13" s="351"/>
      <c r="I13" s="24" t="s">
        <v>412</v>
      </c>
      <c r="J13" s="292" t="s">
        <v>390</v>
      </c>
      <c r="K13" s="347" t="s">
        <v>414</v>
      </c>
      <c r="L13" s="351"/>
      <c r="M13" s="351"/>
      <c r="N13" s="351"/>
      <c r="O13" s="351"/>
      <c r="P13" s="351"/>
      <c r="Q13" s="351"/>
      <c r="R13" s="351"/>
      <c r="S13" s="351"/>
      <c r="T13" s="351"/>
      <c r="U13" s="351"/>
      <c r="V13" s="351"/>
      <c r="W13" s="351"/>
      <c r="X13" s="351"/>
      <c r="Y13" s="351"/>
      <c r="Z13" s="351"/>
      <c r="AA13" s="351"/>
      <c r="AB13" s="351"/>
      <c r="AC13" s="351"/>
      <c r="AD13" s="351"/>
      <c r="AE13" s="351"/>
      <c r="AF13" s="351"/>
      <c r="AG13" s="351"/>
      <c r="AH13" s="351"/>
      <c r="AI13" s="351"/>
      <c r="AJ13" s="351"/>
      <c r="AK13" s="351"/>
      <c r="AL13" s="351"/>
      <c r="AM13" s="251"/>
    </row>
    <row r="14" spans="2:39">
      <c r="B14" s="249"/>
      <c r="C14" s="351"/>
      <c r="D14" s="351"/>
      <c r="E14" s="351"/>
      <c r="F14" s="351"/>
      <c r="G14" s="351"/>
      <c r="H14" s="351"/>
      <c r="I14" s="344" t="s">
        <v>417</v>
      </c>
      <c r="J14" s="292" t="s">
        <v>391</v>
      </c>
      <c r="L14" s="351"/>
      <c r="M14" s="351"/>
      <c r="N14" s="351"/>
      <c r="O14" s="351"/>
      <c r="P14" s="351"/>
      <c r="Q14" s="351"/>
      <c r="R14" s="351"/>
      <c r="S14" s="351"/>
      <c r="T14" s="351"/>
      <c r="U14" s="351"/>
      <c r="V14" s="351"/>
      <c r="W14" s="351"/>
      <c r="X14" s="351"/>
      <c r="Y14" s="351"/>
      <c r="Z14" s="351"/>
      <c r="AA14" s="351"/>
      <c r="AB14" s="351"/>
      <c r="AC14" s="351"/>
      <c r="AD14" s="351"/>
      <c r="AE14" s="351"/>
      <c r="AF14" s="351"/>
      <c r="AG14" s="351"/>
      <c r="AH14" s="351"/>
      <c r="AI14" s="351"/>
      <c r="AJ14" s="351"/>
      <c r="AK14" s="351"/>
      <c r="AL14" s="351"/>
      <c r="AM14" s="251"/>
    </row>
    <row r="15" spans="2:39">
      <c r="B15" s="249"/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51"/>
      <c r="O15" s="351"/>
      <c r="P15" s="351"/>
      <c r="Q15" s="351"/>
      <c r="R15" s="351"/>
      <c r="S15" s="351"/>
      <c r="T15" s="351"/>
      <c r="U15" s="351"/>
      <c r="V15" s="351"/>
      <c r="W15" s="351"/>
      <c r="X15" s="351"/>
      <c r="Y15" s="351"/>
      <c r="Z15" s="351"/>
      <c r="AA15" s="351"/>
      <c r="AB15" s="351"/>
      <c r="AC15" s="351"/>
      <c r="AD15" s="351"/>
      <c r="AE15" s="351"/>
      <c r="AF15" s="351"/>
      <c r="AG15" s="351"/>
      <c r="AH15" s="351"/>
      <c r="AI15" s="351"/>
      <c r="AJ15" s="351"/>
      <c r="AK15" s="351"/>
      <c r="AL15" s="351"/>
      <c r="AM15" s="251"/>
    </row>
    <row r="16" spans="2:39">
      <c r="B16" s="249"/>
      <c r="C16" s="351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1"/>
      <c r="V16" s="351"/>
      <c r="W16" s="351"/>
      <c r="X16" s="351"/>
      <c r="Y16" s="351"/>
      <c r="Z16" s="351"/>
      <c r="AA16" s="351"/>
      <c r="AB16" s="351"/>
      <c r="AC16" s="351"/>
      <c r="AD16" s="351"/>
      <c r="AE16" s="351"/>
      <c r="AF16" s="351"/>
      <c r="AG16" s="351"/>
      <c r="AH16" s="351"/>
      <c r="AI16" s="351"/>
      <c r="AJ16" s="351"/>
      <c r="AK16" s="351"/>
      <c r="AL16" s="351"/>
      <c r="AM16" s="251"/>
    </row>
    <row r="17" spans="2:57">
      <c r="B17" s="249"/>
      <c r="C17" s="351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1"/>
      <c r="V17" s="351"/>
      <c r="W17" s="351"/>
      <c r="X17" s="351"/>
      <c r="Y17" s="351"/>
      <c r="Z17" s="351"/>
      <c r="AA17" s="351"/>
      <c r="AB17" s="351"/>
      <c r="AC17" s="351"/>
      <c r="AD17" s="351"/>
      <c r="AE17" s="351"/>
      <c r="AF17" s="351"/>
      <c r="AG17" s="351"/>
      <c r="AH17" s="351"/>
      <c r="AI17" s="351"/>
      <c r="AJ17" s="351"/>
      <c r="AK17" s="351"/>
      <c r="AL17" s="351"/>
      <c r="AM17" s="251"/>
    </row>
    <row r="18" spans="2:57">
      <c r="B18" s="249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1"/>
      <c r="V18" s="351"/>
      <c r="W18" s="351"/>
      <c r="X18" s="351"/>
      <c r="Y18" s="351"/>
      <c r="Z18" s="351"/>
      <c r="AA18" s="351"/>
      <c r="AB18" s="351"/>
      <c r="AC18" s="351"/>
      <c r="AD18" s="351"/>
      <c r="AE18" s="351"/>
      <c r="AF18" s="351"/>
      <c r="AG18" s="351"/>
      <c r="AH18" s="351"/>
      <c r="AI18" s="351"/>
      <c r="AJ18" s="351"/>
      <c r="AK18" s="351"/>
      <c r="AL18" s="351"/>
      <c r="AM18" s="251"/>
    </row>
    <row r="19" spans="2:57" ht="19" thickBot="1">
      <c r="B19" s="258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3"/>
      <c r="V19" s="353"/>
      <c r="W19" s="353"/>
      <c r="X19" s="353"/>
      <c r="Y19" s="353"/>
      <c r="Z19" s="353"/>
      <c r="AA19" s="353"/>
      <c r="AB19" s="353"/>
      <c r="AC19" s="353"/>
      <c r="AD19" s="353"/>
      <c r="AE19" s="353"/>
      <c r="AF19" s="353"/>
      <c r="AG19" s="353"/>
      <c r="AH19" s="353"/>
      <c r="AI19" s="353"/>
      <c r="AJ19" s="353"/>
      <c r="AK19" s="353"/>
      <c r="AL19" s="353"/>
      <c r="AM19" s="346"/>
    </row>
    <row r="21" spans="2:57">
      <c r="AM21" s="185"/>
      <c r="AN21" s="185"/>
      <c r="AO21" s="185"/>
      <c r="AP21" s="185"/>
      <c r="AQ21" s="185"/>
      <c r="AR21" s="185"/>
      <c r="AS21" s="185"/>
      <c r="AT21" s="185"/>
      <c r="AU21" s="185"/>
      <c r="AV21" s="185"/>
      <c r="AW21" s="185"/>
      <c r="AX21" s="185"/>
      <c r="AY21" s="185"/>
      <c r="AZ21" s="185"/>
      <c r="BA21" s="185"/>
      <c r="BB21" s="185"/>
      <c r="BC21" s="185"/>
      <c r="BD21" s="185"/>
      <c r="BE21" s="185"/>
    </row>
    <row r="22" spans="2:57">
      <c r="AM22" s="185"/>
      <c r="AN22" s="185"/>
      <c r="AO22" s="185"/>
      <c r="AP22" s="185"/>
      <c r="AQ22" s="185"/>
      <c r="AR22" s="185"/>
      <c r="AS22" s="185"/>
      <c r="AT22" s="185"/>
      <c r="AU22" s="185"/>
      <c r="AV22" s="185"/>
      <c r="AW22" s="185"/>
      <c r="AX22" s="185"/>
      <c r="AY22" s="185"/>
      <c r="AZ22" s="185"/>
      <c r="BA22" s="185"/>
      <c r="BB22" s="185"/>
      <c r="BC22" s="185"/>
      <c r="BD22" s="185"/>
      <c r="BE22" s="185"/>
    </row>
    <row r="23" spans="2:57" ht="18.75" customHeight="1">
      <c r="AM23" s="185"/>
      <c r="AN23" s="185"/>
      <c r="AO23" s="185"/>
      <c r="AP23" s="185"/>
      <c r="AQ23" s="185"/>
      <c r="AR23" s="185"/>
      <c r="AS23" s="185"/>
      <c r="AT23" s="185"/>
      <c r="AU23" s="185"/>
      <c r="AV23" s="185"/>
      <c r="AW23" s="185"/>
      <c r="AX23" s="185"/>
      <c r="AY23" s="185"/>
      <c r="AZ23" s="185"/>
      <c r="BA23" s="185"/>
      <c r="BB23" s="185"/>
      <c r="BC23" s="185"/>
      <c r="BD23" s="185"/>
      <c r="BE23" s="185"/>
    </row>
    <row r="24" spans="2:57"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5"/>
      <c r="BE24" s="185"/>
    </row>
    <row r="25" spans="2:57">
      <c r="AM25" s="185"/>
      <c r="AN25" s="185"/>
      <c r="AO25" s="185"/>
      <c r="AP25" s="185"/>
      <c r="AQ25" s="185"/>
      <c r="AR25" s="185"/>
      <c r="AS25" s="185"/>
      <c r="AT25" s="185"/>
      <c r="AU25" s="185"/>
      <c r="AV25" s="185"/>
      <c r="AW25" s="185"/>
      <c r="AX25" s="185"/>
      <c r="AY25" s="185"/>
      <c r="AZ25" s="185"/>
      <c r="BA25" s="185"/>
      <c r="BB25" s="185"/>
      <c r="BC25" s="185"/>
      <c r="BD25" s="185"/>
      <c r="BE25" s="185"/>
    </row>
    <row r="26" spans="2:57">
      <c r="AM26" s="185"/>
      <c r="AN26" s="185"/>
      <c r="AO26" s="185"/>
      <c r="AP26" s="185"/>
      <c r="AQ26" s="185"/>
      <c r="AR26" s="185"/>
      <c r="AS26" s="185"/>
      <c r="AT26" s="185"/>
      <c r="AU26" s="185"/>
      <c r="AV26" s="185"/>
      <c r="AW26" s="185"/>
      <c r="AX26" s="185"/>
      <c r="AY26" s="185"/>
      <c r="AZ26" s="185"/>
      <c r="BA26" s="185"/>
      <c r="BB26" s="185"/>
      <c r="BC26" s="185"/>
      <c r="BD26" s="185"/>
      <c r="BE26" s="185"/>
    </row>
    <row r="27" spans="2:57">
      <c r="AM27" s="185"/>
      <c r="AN27" s="185"/>
      <c r="AO27" s="185"/>
      <c r="AP27" s="185"/>
      <c r="AQ27" s="185"/>
      <c r="AR27" s="185"/>
      <c r="AS27" s="185"/>
      <c r="AT27" s="185"/>
      <c r="AU27" s="185"/>
      <c r="AV27" s="185"/>
      <c r="AW27" s="185"/>
      <c r="AX27" s="185"/>
      <c r="AY27" s="185"/>
      <c r="AZ27" s="185"/>
      <c r="BA27" s="185"/>
      <c r="BB27" s="185"/>
      <c r="BC27" s="185"/>
      <c r="BD27" s="185"/>
      <c r="BE27" s="185"/>
    </row>
    <row r="28" spans="2:57">
      <c r="AM28" s="185"/>
      <c r="AN28" s="185"/>
      <c r="AO28" s="185"/>
      <c r="AP28" s="185"/>
      <c r="AQ28" s="185"/>
      <c r="AR28" s="185"/>
      <c r="AS28" s="185"/>
      <c r="AT28" s="185"/>
      <c r="AU28" s="185"/>
      <c r="AV28" s="185"/>
      <c r="AW28" s="185"/>
      <c r="AX28" s="185"/>
    </row>
    <row r="29" spans="2:57">
      <c r="AM29" s="185"/>
      <c r="AN29" s="185"/>
      <c r="AO29" s="185"/>
      <c r="AP29" s="185"/>
      <c r="AQ29" s="185"/>
      <c r="AR29" s="185"/>
      <c r="AS29" s="185"/>
      <c r="AT29" s="185"/>
      <c r="AU29" s="185"/>
      <c r="AV29" s="185"/>
      <c r="AW29" s="185"/>
      <c r="AX29" s="185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M57"/>
  <sheetViews>
    <sheetView workbookViewId="0"/>
  </sheetViews>
  <sheetFormatPr baseColWidth="10" defaultColWidth="8.83203125" defaultRowHeight="18"/>
  <cols>
    <col min="1" max="1" width="2.83203125" customWidth="1"/>
    <col min="2" max="2" width="4.33203125" customWidth="1"/>
    <col min="3" max="3" width="14.6640625" bestFit="1" customWidth="1"/>
  </cols>
  <sheetData>
    <row r="1" spans="2:13" ht="19" thickBot="1"/>
    <row r="2" spans="2:13" ht="24">
      <c r="B2" s="246" t="s">
        <v>333</v>
      </c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8"/>
    </row>
    <row r="3" spans="2:13">
      <c r="B3" s="249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2:13">
      <c r="B4" s="252" t="s">
        <v>317</v>
      </c>
      <c r="C4" s="250" t="s">
        <v>318</v>
      </c>
      <c r="D4" s="250"/>
      <c r="E4" s="250"/>
      <c r="F4" s="250"/>
      <c r="G4" s="250"/>
      <c r="H4" s="250"/>
      <c r="I4" s="250"/>
      <c r="J4" s="250"/>
      <c r="K4" s="250"/>
      <c r="L4" s="250"/>
      <c r="M4" s="251"/>
    </row>
    <row r="5" spans="2:13">
      <c r="B5" s="249"/>
      <c r="C5" s="253" t="s">
        <v>329</v>
      </c>
      <c r="D5" s="250"/>
      <c r="E5" s="250"/>
      <c r="F5" s="250"/>
      <c r="G5" s="250"/>
      <c r="H5" s="250"/>
      <c r="I5" s="250"/>
      <c r="J5" s="250"/>
      <c r="K5" s="250"/>
      <c r="L5" s="250"/>
      <c r="M5" s="251"/>
    </row>
    <row r="6" spans="2:13">
      <c r="B6" s="249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1"/>
    </row>
    <row r="7" spans="2:13">
      <c r="B7" s="249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1"/>
    </row>
    <row r="8" spans="2:13">
      <c r="B8" s="249"/>
      <c r="C8" s="250"/>
      <c r="D8" s="250"/>
      <c r="E8" s="250"/>
      <c r="F8" s="250"/>
      <c r="G8" s="250"/>
      <c r="H8" s="250"/>
      <c r="I8" s="250"/>
      <c r="J8" s="250"/>
      <c r="K8" s="250"/>
      <c r="L8" s="250"/>
      <c r="M8" s="251"/>
    </row>
    <row r="9" spans="2:13">
      <c r="B9" s="249"/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1"/>
    </row>
    <row r="10" spans="2:13">
      <c r="B10" s="249"/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1"/>
    </row>
    <row r="11" spans="2:13">
      <c r="B11" s="249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1"/>
    </row>
    <row r="12" spans="2:13">
      <c r="B12" s="249"/>
      <c r="C12" s="250"/>
      <c r="D12" s="250"/>
      <c r="E12" s="250"/>
      <c r="F12" s="250"/>
      <c r="G12" s="250"/>
      <c r="H12" s="250"/>
      <c r="I12" s="250"/>
      <c r="J12" s="250"/>
      <c r="K12" s="250"/>
      <c r="L12" s="250"/>
      <c r="M12" s="251"/>
    </row>
    <row r="13" spans="2:13">
      <c r="B13" s="252" t="s">
        <v>319</v>
      </c>
      <c r="C13" s="250" t="s">
        <v>320</v>
      </c>
      <c r="D13" s="250"/>
      <c r="E13" s="250"/>
      <c r="F13" s="250"/>
      <c r="G13" s="250"/>
      <c r="H13" s="250"/>
      <c r="I13" s="250"/>
      <c r="J13" s="250"/>
      <c r="K13" s="250"/>
      <c r="L13" s="250"/>
      <c r="M13" s="251"/>
    </row>
    <row r="14" spans="2:13">
      <c r="B14" s="249"/>
      <c r="C14" s="254" t="s">
        <v>334</v>
      </c>
      <c r="D14" s="250"/>
      <c r="E14" s="255" t="s">
        <v>316</v>
      </c>
      <c r="F14" s="250"/>
      <c r="G14" s="250"/>
      <c r="H14" s="250"/>
      <c r="I14" s="250"/>
      <c r="J14" s="250"/>
      <c r="K14" s="250"/>
      <c r="L14" s="250"/>
      <c r="M14" s="251"/>
    </row>
    <row r="15" spans="2:13">
      <c r="B15" s="249"/>
      <c r="C15" s="250"/>
      <c r="D15" s="250"/>
      <c r="E15" s="250"/>
      <c r="F15" s="250"/>
      <c r="G15" s="250"/>
      <c r="H15" s="250"/>
      <c r="I15" s="250"/>
      <c r="J15" s="250"/>
      <c r="K15" s="250"/>
      <c r="L15" s="250"/>
      <c r="M15" s="251"/>
    </row>
    <row r="16" spans="2:13">
      <c r="B16" s="252"/>
      <c r="C16" s="250" t="s">
        <v>321</v>
      </c>
      <c r="D16" s="250"/>
      <c r="E16" s="250"/>
      <c r="F16" s="250"/>
      <c r="G16" s="250"/>
      <c r="H16" s="250"/>
      <c r="I16" s="250"/>
      <c r="J16" s="250"/>
      <c r="K16" s="250"/>
      <c r="L16" s="250"/>
      <c r="M16" s="251"/>
    </row>
    <row r="17" spans="2:13">
      <c r="B17" s="252"/>
      <c r="C17" s="250" t="s">
        <v>322</v>
      </c>
      <c r="D17" s="250"/>
      <c r="E17" s="250" t="s">
        <v>323</v>
      </c>
      <c r="F17" s="250"/>
      <c r="G17" s="250"/>
      <c r="H17" s="250"/>
      <c r="I17" s="250"/>
      <c r="J17" s="250"/>
      <c r="K17" s="250"/>
      <c r="L17" s="250"/>
      <c r="M17" s="251"/>
    </row>
    <row r="18" spans="2:13">
      <c r="B18" s="252"/>
      <c r="C18" s="250" t="s">
        <v>324</v>
      </c>
      <c r="D18" s="250"/>
      <c r="E18" s="250" t="s">
        <v>325</v>
      </c>
      <c r="F18" s="250"/>
      <c r="G18" s="250"/>
      <c r="H18" s="250"/>
      <c r="I18" s="250"/>
      <c r="J18" s="250"/>
      <c r="K18" s="250"/>
      <c r="L18" s="250"/>
      <c r="M18" s="251"/>
    </row>
    <row r="19" spans="2:13">
      <c r="B19" s="252"/>
      <c r="C19" s="250" t="s">
        <v>326</v>
      </c>
      <c r="D19" s="250"/>
      <c r="E19" s="250" t="s">
        <v>327</v>
      </c>
      <c r="F19" s="250"/>
      <c r="G19" s="250"/>
      <c r="H19" s="250"/>
      <c r="I19" s="250"/>
      <c r="J19" s="250"/>
      <c r="K19" s="250"/>
      <c r="L19" s="250"/>
      <c r="M19" s="251"/>
    </row>
    <row r="20" spans="2:13">
      <c r="B20" s="252"/>
      <c r="C20" s="250"/>
      <c r="D20" s="250"/>
      <c r="E20" s="250"/>
      <c r="F20" s="250"/>
      <c r="G20" s="250"/>
      <c r="H20" s="250"/>
      <c r="I20" s="250"/>
      <c r="J20" s="250"/>
      <c r="K20" s="250"/>
      <c r="L20" s="250"/>
      <c r="M20" s="251"/>
    </row>
    <row r="21" spans="2:13">
      <c r="B21" s="249"/>
      <c r="C21" s="250"/>
      <c r="D21" s="250"/>
      <c r="E21" s="250"/>
      <c r="F21" s="250"/>
      <c r="G21" s="250"/>
      <c r="H21" s="250"/>
      <c r="I21" s="250"/>
      <c r="J21" s="250"/>
      <c r="K21" s="250"/>
      <c r="L21" s="250"/>
      <c r="M21" s="251"/>
    </row>
    <row r="22" spans="2:13"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1"/>
    </row>
    <row r="23" spans="2:13">
      <c r="B23" s="249"/>
      <c r="C23" s="250"/>
      <c r="D23" s="250"/>
      <c r="E23" s="250"/>
      <c r="F23" s="250"/>
      <c r="G23" s="250"/>
      <c r="H23" s="250"/>
      <c r="I23" s="250"/>
      <c r="J23" s="250"/>
      <c r="K23" s="250"/>
      <c r="L23" s="250"/>
      <c r="M23" s="251"/>
    </row>
    <row r="24" spans="2:13">
      <c r="B24" s="249"/>
      <c r="C24" s="250"/>
      <c r="D24" s="250"/>
      <c r="E24" s="250"/>
      <c r="F24" s="250"/>
      <c r="G24" s="250"/>
      <c r="H24" s="250"/>
      <c r="I24" s="250"/>
      <c r="J24" s="250"/>
      <c r="K24" s="250"/>
      <c r="L24" s="250"/>
      <c r="M24" s="251"/>
    </row>
    <row r="25" spans="2:13">
      <c r="B25" s="249"/>
      <c r="C25" s="250"/>
      <c r="D25" s="250"/>
      <c r="E25" s="250"/>
      <c r="F25" s="250"/>
      <c r="G25" s="250"/>
      <c r="H25" s="250"/>
      <c r="I25" s="250"/>
      <c r="J25" s="250"/>
      <c r="K25" s="250"/>
      <c r="L25" s="250"/>
      <c r="M25" s="251"/>
    </row>
    <row r="26" spans="2:13">
      <c r="B26" s="256"/>
      <c r="C26" s="250"/>
      <c r="D26" s="250"/>
      <c r="E26" s="250"/>
      <c r="F26" s="250"/>
      <c r="G26" s="250"/>
      <c r="H26" s="250"/>
      <c r="I26" s="250"/>
      <c r="J26" s="250"/>
      <c r="K26" s="250"/>
      <c r="L26" s="250"/>
      <c r="M26" s="251"/>
    </row>
    <row r="27" spans="2:13">
      <c r="B27" s="249"/>
      <c r="C27" s="250"/>
      <c r="D27" s="250"/>
      <c r="E27" s="250"/>
      <c r="F27" s="250"/>
      <c r="G27" s="250"/>
      <c r="H27" s="250"/>
      <c r="I27" s="250"/>
      <c r="J27" s="250"/>
      <c r="K27" s="250"/>
      <c r="L27" s="250"/>
      <c r="M27" s="251"/>
    </row>
    <row r="28" spans="2:13">
      <c r="B28" s="249"/>
      <c r="C28" s="250"/>
      <c r="D28" s="250"/>
      <c r="E28" s="250"/>
      <c r="F28" s="250"/>
      <c r="G28" s="250"/>
      <c r="H28" s="250"/>
      <c r="I28" s="250"/>
      <c r="J28" s="250"/>
      <c r="K28" s="250"/>
      <c r="L28" s="250"/>
      <c r="M28" s="251"/>
    </row>
    <row r="29" spans="2:13">
      <c r="B29" s="249"/>
      <c r="C29" s="250"/>
      <c r="D29" s="250"/>
      <c r="E29" s="250"/>
      <c r="F29" s="250"/>
      <c r="G29" s="250"/>
      <c r="H29" s="250"/>
      <c r="I29" s="250"/>
      <c r="J29" s="250"/>
      <c r="K29" s="250"/>
      <c r="L29" s="250"/>
      <c r="M29" s="251"/>
    </row>
    <row r="30" spans="2:13">
      <c r="B30" s="249"/>
      <c r="C30" s="250"/>
      <c r="D30" s="250"/>
      <c r="E30" s="250"/>
      <c r="F30" s="250"/>
      <c r="G30" s="250"/>
      <c r="H30" s="250"/>
      <c r="I30" s="250"/>
      <c r="J30" s="250"/>
      <c r="K30" s="250"/>
      <c r="L30" s="250"/>
      <c r="M30" s="251"/>
    </row>
    <row r="31" spans="2:13">
      <c r="B31" s="249"/>
      <c r="C31" s="250"/>
      <c r="D31" s="250"/>
      <c r="E31" s="250"/>
      <c r="F31" s="250"/>
      <c r="G31" s="250"/>
      <c r="H31" s="250"/>
      <c r="I31" s="250"/>
      <c r="J31" s="250"/>
      <c r="K31" s="250"/>
      <c r="L31" s="250"/>
      <c r="M31" s="251"/>
    </row>
    <row r="32" spans="2:13">
      <c r="B32" s="249"/>
      <c r="C32" s="257" t="s">
        <v>328</v>
      </c>
      <c r="D32" s="250"/>
      <c r="E32" s="250"/>
      <c r="F32" s="250"/>
      <c r="G32" s="250"/>
      <c r="H32" s="250"/>
      <c r="I32" s="250"/>
      <c r="J32" s="250"/>
      <c r="K32" s="250"/>
      <c r="L32" s="250"/>
      <c r="M32" s="251"/>
    </row>
    <row r="33" spans="2:13">
      <c r="B33" s="249"/>
      <c r="C33" s="257" t="s">
        <v>330</v>
      </c>
      <c r="D33" s="250"/>
      <c r="E33" s="250"/>
      <c r="F33" s="250"/>
      <c r="G33" s="250"/>
      <c r="H33" s="250"/>
      <c r="I33" s="250"/>
      <c r="J33" s="250"/>
      <c r="K33" s="250"/>
      <c r="L33" s="250"/>
      <c r="M33" s="251"/>
    </row>
    <row r="34" spans="2:13">
      <c r="B34" s="249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1"/>
    </row>
    <row r="35" spans="2:13">
      <c r="B35" s="252" t="s">
        <v>332</v>
      </c>
      <c r="C35" s="257" t="s">
        <v>331</v>
      </c>
      <c r="D35" s="250"/>
      <c r="E35" s="250"/>
      <c r="F35" s="250"/>
      <c r="G35" s="250"/>
      <c r="H35" s="250"/>
      <c r="I35" s="250"/>
      <c r="J35" s="250"/>
      <c r="K35" s="250"/>
      <c r="L35" s="250"/>
      <c r="M35" s="251"/>
    </row>
    <row r="36" spans="2:13">
      <c r="B36" s="249"/>
      <c r="C36" s="250"/>
      <c r="D36" s="250"/>
      <c r="E36" s="250"/>
      <c r="F36" s="250"/>
      <c r="G36" s="250"/>
      <c r="H36" s="250"/>
      <c r="I36" s="250"/>
      <c r="J36" s="250"/>
      <c r="K36" s="250"/>
      <c r="L36" s="250"/>
      <c r="M36" s="251"/>
    </row>
    <row r="37" spans="2:13">
      <c r="B37" s="249"/>
      <c r="C37" s="250"/>
      <c r="D37" s="250"/>
      <c r="E37" s="250"/>
      <c r="F37" s="250"/>
      <c r="G37" s="250"/>
      <c r="H37" s="250"/>
      <c r="I37" s="250"/>
      <c r="J37" s="250"/>
      <c r="K37" s="250"/>
      <c r="L37" s="250"/>
      <c r="M37" s="251"/>
    </row>
    <row r="38" spans="2:13">
      <c r="B38" s="249"/>
      <c r="C38" s="250"/>
      <c r="D38" s="250"/>
      <c r="E38" s="250"/>
      <c r="F38" s="250"/>
      <c r="G38" s="250"/>
      <c r="H38" s="250"/>
      <c r="I38" s="250"/>
      <c r="J38" s="250"/>
      <c r="K38" s="250"/>
      <c r="L38" s="250"/>
      <c r="M38" s="251"/>
    </row>
    <row r="39" spans="2:13">
      <c r="B39" s="249"/>
      <c r="C39" s="250"/>
      <c r="D39" s="250"/>
      <c r="E39" s="250"/>
      <c r="F39" s="250"/>
      <c r="G39" s="250"/>
      <c r="H39" s="250"/>
      <c r="I39" s="250"/>
      <c r="J39" s="250"/>
      <c r="K39" s="250"/>
      <c r="L39" s="250"/>
      <c r="M39" s="251"/>
    </row>
    <row r="40" spans="2:13">
      <c r="B40" s="249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1"/>
    </row>
    <row r="41" spans="2:13">
      <c r="B41" s="249"/>
      <c r="C41" s="250"/>
      <c r="D41" s="250"/>
      <c r="E41" s="250"/>
      <c r="F41" s="250"/>
      <c r="G41" s="250"/>
      <c r="H41" s="250"/>
      <c r="I41" s="250"/>
      <c r="J41" s="250"/>
      <c r="K41" s="250"/>
      <c r="L41" s="250"/>
      <c r="M41" s="251"/>
    </row>
    <row r="42" spans="2:13">
      <c r="B42" s="249"/>
      <c r="C42" s="250"/>
      <c r="D42" s="250"/>
      <c r="E42" s="250"/>
      <c r="F42" s="250"/>
      <c r="G42" s="250"/>
      <c r="H42" s="250"/>
      <c r="I42" s="250"/>
      <c r="J42" s="250"/>
      <c r="K42" s="250"/>
      <c r="L42" s="250"/>
      <c r="M42" s="251"/>
    </row>
    <row r="43" spans="2:13">
      <c r="B43" s="249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1"/>
    </row>
    <row r="44" spans="2:13">
      <c r="B44" s="249"/>
      <c r="C44" s="250"/>
      <c r="D44" s="250"/>
      <c r="E44" s="250"/>
      <c r="F44" s="250"/>
      <c r="G44" s="250"/>
      <c r="H44" s="250"/>
      <c r="I44" s="250"/>
      <c r="J44" s="250"/>
      <c r="K44" s="250"/>
      <c r="L44" s="250"/>
      <c r="M44" s="251"/>
    </row>
    <row r="45" spans="2:13">
      <c r="B45" s="249"/>
      <c r="C45" s="250"/>
      <c r="D45" s="250"/>
      <c r="E45" s="250"/>
      <c r="F45" s="250"/>
      <c r="G45" s="250"/>
      <c r="H45" s="250"/>
      <c r="I45" s="250"/>
      <c r="J45" s="250"/>
      <c r="K45" s="250"/>
      <c r="L45" s="250"/>
      <c r="M45" s="251"/>
    </row>
    <row r="46" spans="2:13">
      <c r="B46" s="249"/>
      <c r="C46" s="250"/>
      <c r="D46" s="250"/>
      <c r="E46" s="250"/>
      <c r="F46" s="250"/>
      <c r="G46" s="250"/>
      <c r="H46" s="250"/>
      <c r="I46" s="250"/>
      <c r="J46" s="250"/>
      <c r="K46" s="250"/>
      <c r="L46" s="250"/>
      <c r="M46" s="251"/>
    </row>
    <row r="47" spans="2:13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1"/>
    </row>
    <row r="48" spans="2:13">
      <c r="B48" s="249"/>
      <c r="C48" s="250" t="s">
        <v>340</v>
      </c>
      <c r="D48" s="250"/>
      <c r="E48" s="250"/>
      <c r="F48" s="250"/>
      <c r="G48" s="250"/>
      <c r="H48" s="250"/>
      <c r="I48" s="250"/>
      <c r="J48" s="250"/>
      <c r="K48" s="250"/>
      <c r="L48" s="250"/>
      <c r="M48" s="251"/>
    </row>
    <row r="49" spans="2:13">
      <c r="B49" s="249"/>
      <c r="C49" s="250" t="s">
        <v>341</v>
      </c>
      <c r="D49" s="250"/>
      <c r="E49" s="250"/>
      <c r="F49" s="250"/>
      <c r="G49" s="250"/>
      <c r="H49" s="250"/>
      <c r="I49" s="250"/>
      <c r="J49" s="250"/>
      <c r="K49" s="250"/>
      <c r="L49" s="250"/>
      <c r="M49" s="251"/>
    </row>
    <row r="50" spans="2:13">
      <c r="B50" s="249"/>
      <c r="C50" s="250"/>
      <c r="D50" s="250"/>
      <c r="E50" s="250"/>
      <c r="F50" s="250"/>
      <c r="G50" s="250"/>
      <c r="H50" s="250"/>
      <c r="I50" s="250"/>
      <c r="J50" s="250"/>
      <c r="K50" s="250"/>
      <c r="L50" s="250"/>
      <c r="M50" s="251"/>
    </row>
    <row r="51" spans="2:13">
      <c r="B51" s="249"/>
      <c r="C51" s="250"/>
      <c r="D51" s="250"/>
      <c r="E51" s="250"/>
      <c r="F51" s="250"/>
      <c r="G51" s="250"/>
      <c r="H51" s="250"/>
      <c r="I51" s="250"/>
      <c r="J51" s="250"/>
      <c r="K51" s="250"/>
      <c r="L51" s="250"/>
      <c r="M51" s="251"/>
    </row>
    <row r="52" spans="2:13">
      <c r="B52" s="249"/>
      <c r="C52" s="250"/>
      <c r="D52" s="250"/>
      <c r="E52" s="250"/>
      <c r="F52" s="250"/>
      <c r="G52" s="250"/>
      <c r="H52" s="250"/>
      <c r="I52" s="250"/>
      <c r="J52" s="250"/>
      <c r="K52" s="250"/>
      <c r="L52" s="250"/>
      <c r="M52" s="251"/>
    </row>
    <row r="53" spans="2:13">
      <c r="B53" s="249"/>
      <c r="C53" s="250"/>
      <c r="D53" s="250"/>
      <c r="E53" s="250"/>
      <c r="F53" s="250"/>
      <c r="G53" s="250"/>
      <c r="H53" s="250"/>
      <c r="I53" s="250"/>
      <c r="J53" s="250"/>
      <c r="K53" s="250"/>
      <c r="L53" s="250"/>
      <c r="M53" s="251"/>
    </row>
    <row r="54" spans="2:13">
      <c r="B54" s="249"/>
      <c r="C54" s="250"/>
      <c r="D54" s="250"/>
      <c r="E54" s="250"/>
      <c r="F54" s="250"/>
      <c r="G54" s="250"/>
      <c r="H54" s="250"/>
      <c r="I54" s="250"/>
      <c r="J54" s="250"/>
      <c r="K54" s="250"/>
      <c r="L54" s="250"/>
      <c r="M54" s="251"/>
    </row>
    <row r="55" spans="2:13">
      <c r="B55" s="249"/>
      <c r="C55" s="250"/>
      <c r="D55" s="250"/>
      <c r="E55" s="250"/>
      <c r="F55" s="250"/>
      <c r="G55" s="250"/>
      <c r="H55" s="250"/>
      <c r="I55" s="250"/>
      <c r="J55" s="250"/>
      <c r="K55" s="250"/>
      <c r="L55" s="250"/>
      <c r="M55" s="251"/>
    </row>
    <row r="56" spans="2:13">
      <c r="B56" s="249"/>
      <c r="C56" s="250"/>
      <c r="D56" s="250"/>
      <c r="E56" s="250"/>
      <c r="F56" s="250"/>
      <c r="G56" s="250"/>
      <c r="H56" s="250"/>
      <c r="I56" s="250"/>
      <c r="J56" s="250"/>
      <c r="K56" s="250"/>
      <c r="L56" s="250"/>
      <c r="M56" s="251"/>
    </row>
    <row r="57" spans="2:13" ht="19" thickBot="1">
      <c r="B57" s="258"/>
      <c r="C57" s="259"/>
      <c r="D57" s="259"/>
      <c r="E57" s="259"/>
      <c r="F57" s="259"/>
      <c r="G57" s="259"/>
      <c r="H57" s="259"/>
      <c r="I57" s="259"/>
      <c r="J57" s="259"/>
      <c r="K57" s="259"/>
      <c r="L57" s="259"/>
      <c r="M57" s="260" t="s">
        <v>335</v>
      </c>
    </row>
  </sheetData>
  <phoneticPr fontId="2"/>
  <hyperlinks>
    <hyperlink ref="E14" r:id="rId1" xr:uid="{00000000-0004-0000-0500-000000000000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BJ26"/>
  <sheetViews>
    <sheetView zoomScale="85" zoomScaleNormal="85" workbookViewId="0"/>
  </sheetViews>
  <sheetFormatPr baseColWidth="10" defaultColWidth="9" defaultRowHeight="14"/>
  <cols>
    <col min="1" max="1" width="2.33203125" style="18" customWidth="1"/>
    <col min="2" max="2" width="3.6640625" style="18" customWidth="1"/>
    <col min="3" max="61" width="4.33203125" style="18" customWidth="1"/>
    <col min="62" max="62" width="6.5" style="18" customWidth="1"/>
    <col min="63" max="16384" width="9" style="18"/>
  </cols>
  <sheetData>
    <row r="1" spans="2:62">
      <c r="G1" s="17"/>
    </row>
    <row r="2" spans="2:62" ht="18" thickBot="1">
      <c r="B2" s="313" t="s">
        <v>377</v>
      </c>
      <c r="H2" s="18" t="s">
        <v>370</v>
      </c>
    </row>
    <row r="3" spans="2:62">
      <c r="B3" s="293"/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4"/>
      <c r="U3" s="294"/>
      <c r="V3" s="294"/>
      <c r="W3" s="294"/>
      <c r="X3" s="294"/>
      <c r="Y3" s="294"/>
      <c r="Z3" s="294"/>
      <c r="AA3" s="294"/>
      <c r="AB3" s="294"/>
      <c r="AC3" s="294"/>
      <c r="AD3" s="294"/>
      <c r="AE3" s="294"/>
      <c r="AF3" s="294"/>
      <c r="AG3" s="294"/>
      <c r="AH3" s="294"/>
      <c r="AI3" s="294"/>
      <c r="AJ3" s="294"/>
      <c r="AK3" s="294"/>
      <c r="AL3" s="294"/>
      <c r="AM3" s="294"/>
      <c r="AN3" s="294"/>
      <c r="AO3" s="294"/>
      <c r="AP3" s="294"/>
      <c r="AQ3" s="294"/>
      <c r="AR3" s="294"/>
      <c r="AS3" s="294"/>
      <c r="AT3" s="294"/>
      <c r="AU3" s="294"/>
      <c r="AV3" s="294"/>
      <c r="AW3" s="294"/>
      <c r="AX3" s="294"/>
      <c r="AY3" s="294"/>
      <c r="AZ3" s="294"/>
      <c r="BA3" s="294"/>
      <c r="BB3" s="294"/>
      <c r="BC3" s="294"/>
      <c r="BD3" s="294"/>
      <c r="BE3" s="294"/>
      <c r="BF3" s="294"/>
      <c r="BG3" s="294"/>
      <c r="BH3" s="294"/>
      <c r="BI3" s="294"/>
      <c r="BJ3" s="295"/>
    </row>
    <row r="4" spans="2:62" ht="15" thickBot="1">
      <c r="B4" s="296" t="s">
        <v>369</v>
      </c>
      <c r="C4" s="297">
        <v>-7</v>
      </c>
      <c r="D4" s="297">
        <v>-6</v>
      </c>
      <c r="E4" s="297">
        <v>-5</v>
      </c>
      <c r="F4" s="297">
        <v>-4</v>
      </c>
      <c r="G4" s="297">
        <v>-3</v>
      </c>
      <c r="H4" s="297">
        <v>-2</v>
      </c>
      <c r="I4" s="297">
        <v>-1</v>
      </c>
      <c r="J4" s="297">
        <v>0</v>
      </c>
      <c r="K4" s="297">
        <v>1</v>
      </c>
      <c r="L4" s="297">
        <v>2</v>
      </c>
      <c r="M4" s="297">
        <v>3</v>
      </c>
      <c r="N4" s="297">
        <v>4</v>
      </c>
      <c r="O4" s="297">
        <v>5</v>
      </c>
      <c r="P4" s="297">
        <v>6</v>
      </c>
      <c r="Q4" s="297">
        <v>7</v>
      </c>
      <c r="R4" s="297">
        <v>8</v>
      </c>
      <c r="S4" s="297">
        <v>9</v>
      </c>
      <c r="T4" s="297">
        <v>10</v>
      </c>
      <c r="U4" s="297">
        <v>11</v>
      </c>
      <c r="V4" s="297">
        <v>12</v>
      </c>
      <c r="W4" s="297">
        <v>13</v>
      </c>
      <c r="X4" s="297">
        <v>14</v>
      </c>
      <c r="Y4" s="297">
        <v>15</v>
      </c>
      <c r="Z4" s="297">
        <v>16</v>
      </c>
      <c r="AA4" s="297">
        <v>17</v>
      </c>
      <c r="AB4" s="297">
        <v>18</v>
      </c>
      <c r="AC4" s="297">
        <v>19</v>
      </c>
      <c r="AD4" s="297">
        <v>20</v>
      </c>
      <c r="AE4" s="297">
        <v>21</v>
      </c>
      <c r="AF4" s="297">
        <v>22</v>
      </c>
      <c r="AG4" s="297">
        <v>23</v>
      </c>
      <c r="AH4" s="297">
        <v>24</v>
      </c>
      <c r="AI4" s="297">
        <v>25</v>
      </c>
      <c r="AJ4" s="297">
        <v>26</v>
      </c>
      <c r="AK4" s="297">
        <v>27</v>
      </c>
      <c r="AL4" s="297">
        <v>28</v>
      </c>
      <c r="AM4" s="297">
        <v>29</v>
      </c>
      <c r="AN4" s="297">
        <v>30</v>
      </c>
      <c r="AO4" s="297">
        <v>31</v>
      </c>
      <c r="AP4" s="297">
        <v>32</v>
      </c>
      <c r="AQ4" s="297">
        <v>33</v>
      </c>
      <c r="AR4" s="297">
        <v>34</v>
      </c>
      <c r="AS4" s="297">
        <v>35</v>
      </c>
      <c r="AT4" s="297">
        <v>36</v>
      </c>
      <c r="AU4" s="297">
        <v>37</v>
      </c>
      <c r="AV4" s="297">
        <v>38</v>
      </c>
      <c r="AW4" s="297">
        <v>39</v>
      </c>
      <c r="AX4" s="297">
        <v>40</v>
      </c>
      <c r="AY4" s="297">
        <v>41</v>
      </c>
      <c r="AZ4" s="297">
        <v>42</v>
      </c>
      <c r="BA4" s="297">
        <v>43</v>
      </c>
      <c r="BB4" s="297">
        <v>44</v>
      </c>
      <c r="BC4" s="297">
        <v>45</v>
      </c>
      <c r="BD4" s="297">
        <v>46</v>
      </c>
      <c r="BE4" s="297">
        <v>47</v>
      </c>
      <c r="BF4" s="297">
        <v>48</v>
      </c>
      <c r="BG4" s="297">
        <v>49</v>
      </c>
      <c r="BH4" s="297">
        <v>50</v>
      </c>
      <c r="BI4" s="297"/>
      <c r="BJ4" s="298"/>
    </row>
    <row r="5" spans="2:62" ht="15" thickBot="1">
      <c r="B5" s="299"/>
      <c r="C5" s="314">
        <v>12</v>
      </c>
      <c r="D5" s="301">
        <v>11</v>
      </c>
      <c r="E5" s="301">
        <v>10</v>
      </c>
      <c r="F5" s="302">
        <v>9</v>
      </c>
      <c r="G5" s="301">
        <v>8</v>
      </c>
      <c r="H5" s="301">
        <v>7</v>
      </c>
      <c r="I5" s="303">
        <v>6</v>
      </c>
      <c r="J5" s="304">
        <v>5</v>
      </c>
      <c r="K5" s="302">
        <v>13</v>
      </c>
      <c r="L5" s="305">
        <v>14</v>
      </c>
      <c r="M5" s="301">
        <v>15</v>
      </c>
      <c r="N5" s="301">
        <v>16</v>
      </c>
      <c r="O5" s="302">
        <v>17</v>
      </c>
      <c r="P5" s="301">
        <v>18</v>
      </c>
      <c r="Q5" s="301">
        <v>19</v>
      </c>
      <c r="R5" s="305">
        <v>20</v>
      </c>
      <c r="S5" s="302">
        <v>21</v>
      </c>
      <c r="T5" s="305">
        <v>22</v>
      </c>
      <c r="U5" s="301">
        <v>23</v>
      </c>
      <c r="V5" s="305">
        <v>24</v>
      </c>
      <c r="W5" s="302">
        <v>25</v>
      </c>
      <c r="X5" s="305">
        <v>26</v>
      </c>
      <c r="Y5" s="301">
        <v>27</v>
      </c>
      <c r="Z5" s="305">
        <v>28</v>
      </c>
      <c r="AA5" s="302">
        <v>29</v>
      </c>
      <c r="AB5" s="305">
        <v>30</v>
      </c>
      <c r="AC5" s="301">
        <v>31</v>
      </c>
      <c r="AD5" s="305">
        <v>32</v>
      </c>
      <c r="AE5" s="302">
        <v>33</v>
      </c>
      <c r="AF5" s="305">
        <v>34</v>
      </c>
      <c r="AG5" s="301">
        <v>35</v>
      </c>
      <c r="AH5" s="305">
        <v>36</v>
      </c>
      <c r="AI5" s="302">
        <v>37</v>
      </c>
      <c r="AJ5" s="305">
        <v>38</v>
      </c>
      <c r="AK5" s="301">
        <v>39</v>
      </c>
      <c r="AL5" s="305">
        <v>40</v>
      </c>
      <c r="AM5" s="302">
        <v>41</v>
      </c>
      <c r="AN5" s="305">
        <v>42</v>
      </c>
      <c r="AO5" s="301">
        <v>43</v>
      </c>
      <c r="AP5" s="305">
        <v>44</v>
      </c>
      <c r="AQ5" s="302">
        <v>45</v>
      </c>
      <c r="AR5" s="305">
        <v>46</v>
      </c>
      <c r="AS5" s="301">
        <v>47</v>
      </c>
      <c r="AT5" s="305">
        <v>48</v>
      </c>
      <c r="AU5" s="302">
        <v>49</v>
      </c>
      <c r="AV5" s="305">
        <v>50</v>
      </c>
      <c r="AW5" s="301">
        <v>51</v>
      </c>
      <c r="AX5" s="305">
        <v>52</v>
      </c>
      <c r="AY5" s="302">
        <v>53</v>
      </c>
      <c r="AZ5" s="305">
        <v>54</v>
      </c>
      <c r="BA5" s="301">
        <v>55</v>
      </c>
      <c r="BB5" s="305">
        <v>56</v>
      </c>
      <c r="BC5" s="302">
        <v>57</v>
      </c>
      <c r="BD5" s="305">
        <v>58</v>
      </c>
      <c r="BE5" s="301">
        <v>59</v>
      </c>
      <c r="BF5" s="305">
        <v>60</v>
      </c>
      <c r="BG5" s="302">
        <v>61</v>
      </c>
      <c r="BH5" s="305">
        <v>62</v>
      </c>
      <c r="BI5" s="297"/>
      <c r="BJ5" s="298"/>
    </row>
    <row r="6" spans="2:62" ht="15" thickBot="1">
      <c r="B6" s="299"/>
      <c r="C6" s="297"/>
      <c r="D6" s="297"/>
      <c r="E6" s="297"/>
      <c r="F6" s="297"/>
      <c r="G6" s="297"/>
      <c r="H6" s="297"/>
      <c r="I6" s="297">
        <v>1</v>
      </c>
      <c r="J6" s="305">
        <v>4</v>
      </c>
      <c r="K6" s="297">
        <v>50</v>
      </c>
      <c r="L6" s="297">
        <f t="shared" ref="L6:AN6" si="0">$K$6*L4</f>
        <v>100</v>
      </c>
      <c r="M6" s="297">
        <f t="shared" si="0"/>
        <v>150</v>
      </c>
      <c r="N6" s="297">
        <f t="shared" si="0"/>
        <v>200</v>
      </c>
      <c r="O6" s="297">
        <f t="shared" si="0"/>
        <v>250</v>
      </c>
      <c r="P6" s="297">
        <f t="shared" si="0"/>
        <v>300</v>
      </c>
      <c r="Q6" s="297">
        <f t="shared" si="0"/>
        <v>350</v>
      </c>
      <c r="R6" s="297">
        <f t="shared" si="0"/>
        <v>400</v>
      </c>
      <c r="S6" s="297">
        <f t="shared" si="0"/>
        <v>450</v>
      </c>
      <c r="T6" s="297">
        <f t="shared" si="0"/>
        <v>500</v>
      </c>
      <c r="U6" s="297">
        <f t="shared" si="0"/>
        <v>550</v>
      </c>
      <c r="V6" s="297">
        <f t="shared" si="0"/>
        <v>600</v>
      </c>
      <c r="W6" s="297">
        <f t="shared" si="0"/>
        <v>650</v>
      </c>
      <c r="X6" s="297">
        <f t="shared" si="0"/>
        <v>700</v>
      </c>
      <c r="Y6" s="297">
        <f t="shared" si="0"/>
        <v>750</v>
      </c>
      <c r="Z6" s="297">
        <f t="shared" si="0"/>
        <v>800</v>
      </c>
      <c r="AA6" s="297">
        <f t="shared" si="0"/>
        <v>850</v>
      </c>
      <c r="AB6" s="297">
        <f t="shared" si="0"/>
        <v>900</v>
      </c>
      <c r="AC6" s="297">
        <f t="shared" si="0"/>
        <v>950</v>
      </c>
      <c r="AD6" s="297">
        <f t="shared" si="0"/>
        <v>1000</v>
      </c>
      <c r="AE6" s="297">
        <f t="shared" si="0"/>
        <v>1050</v>
      </c>
      <c r="AF6" s="297">
        <f t="shared" si="0"/>
        <v>1100</v>
      </c>
      <c r="AG6" s="297">
        <f t="shared" si="0"/>
        <v>1150</v>
      </c>
      <c r="AH6" s="297">
        <f t="shared" si="0"/>
        <v>1200</v>
      </c>
      <c r="AI6" s="297">
        <f t="shared" si="0"/>
        <v>1250</v>
      </c>
      <c r="AJ6" s="297">
        <f t="shared" si="0"/>
        <v>1300</v>
      </c>
      <c r="AK6" s="297">
        <f t="shared" si="0"/>
        <v>1350</v>
      </c>
      <c r="AL6" s="297">
        <f t="shared" si="0"/>
        <v>1400</v>
      </c>
      <c r="AM6" s="297">
        <f t="shared" si="0"/>
        <v>1450</v>
      </c>
      <c r="AN6" s="297">
        <f t="shared" si="0"/>
        <v>1500</v>
      </c>
      <c r="AO6" s="297">
        <f t="shared" ref="AO6:BH6" si="1">$K$6*AO4</f>
        <v>1550</v>
      </c>
      <c r="AP6" s="297">
        <f t="shared" si="1"/>
        <v>1600</v>
      </c>
      <c r="AQ6" s="297">
        <f t="shared" si="1"/>
        <v>1650</v>
      </c>
      <c r="AR6" s="297">
        <f t="shared" si="1"/>
        <v>1700</v>
      </c>
      <c r="AS6" s="297">
        <f t="shared" si="1"/>
        <v>1750</v>
      </c>
      <c r="AT6" s="297">
        <f t="shared" si="1"/>
        <v>1800</v>
      </c>
      <c r="AU6" s="297">
        <f t="shared" si="1"/>
        <v>1850</v>
      </c>
      <c r="AV6" s="297">
        <f t="shared" si="1"/>
        <v>1900</v>
      </c>
      <c r="AW6" s="297">
        <f t="shared" si="1"/>
        <v>1950</v>
      </c>
      <c r="AX6" s="297">
        <f t="shared" si="1"/>
        <v>2000</v>
      </c>
      <c r="AY6" s="297">
        <f t="shared" si="1"/>
        <v>2050</v>
      </c>
      <c r="AZ6" s="297">
        <f t="shared" si="1"/>
        <v>2100</v>
      </c>
      <c r="BA6" s="297">
        <f t="shared" si="1"/>
        <v>2150</v>
      </c>
      <c r="BB6" s="297">
        <f t="shared" si="1"/>
        <v>2200</v>
      </c>
      <c r="BC6" s="297">
        <f t="shared" si="1"/>
        <v>2250</v>
      </c>
      <c r="BD6" s="297">
        <f t="shared" si="1"/>
        <v>2300</v>
      </c>
      <c r="BE6" s="297">
        <f t="shared" si="1"/>
        <v>2350</v>
      </c>
      <c r="BF6" s="297">
        <f t="shared" si="1"/>
        <v>2400</v>
      </c>
      <c r="BG6" s="297">
        <f t="shared" si="1"/>
        <v>2450</v>
      </c>
      <c r="BH6" s="297">
        <f t="shared" si="1"/>
        <v>2500</v>
      </c>
      <c r="BI6" s="297"/>
      <c r="BJ6" s="298"/>
    </row>
    <row r="7" spans="2:62" ht="15" thickBot="1">
      <c r="B7" s="299"/>
      <c r="C7" s="297"/>
      <c r="D7" s="297"/>
      <c r="E7" s="297"/>
      <c r="F7" s="297"/>
      <c r="G7" s="297"/>
      <c r="H7" s="297"/>
      <c r="I7" s="297">
        <v>2</v>
      </c>
      <c r="J7" s="305">
        <v>3</v>
      </c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7"/>
      <c r="AJ7" s="297"/>
      <c r="AK7" s="297"/>
      <c r="AL7" s="297"/>
      <c r="AM7" s="297"/>
      <c r="AN7" s="297"/>
      <c r="AO7" s="297"/>
      <c r="AP7" s="297"/>
      <c r="AQ7" s="297"/>
      <c r="AR7" s="297"/>
      <c r="AS7" s="297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7"/>
      <c r="BE7" s="297"/>
      <c r="BF7" s="297"/>
      <c r="BG7" s="297"/>
      <c r="BH7" s="297"/>
      <c r="BI7" s="297"/>
      <c r="BJ7" s="298"/>
    </row>
    <row r="8" spans="2:62" ht="14.25" customHeight="1" thickBot="1">
      <c r="B8" s="299"/>
      <c r="C8" s="297"/>
      <c r="D8" s="297"/>
      <c r="E8" s="297"/>
      <c r="F8" s="297"/>
      <c r="G8" s="297"/>
      <c r="H8" s="297"/>
      <c r="I8" s="297">
        <v>3</v>
      </c>
      <c r="J8" s="305">
        <v>2</v>
      </c>
      <c r="K8" s="297"/>
      <c r="L8" s="297"/>
      <c r="M8" s="297"/>
      <c r="N8" s="297"/>
      <c r="O8" s="297"/>
      <c r="P8" s="297"/>
      <c r="Q8" s="297"/>
      <c r="R8" s="297"/>
      <c r="S8" s="297"/>
      <c r="T8" s="297"/>
      <c r="U8" s="297"/>
      <c r="V8" s="297"/>
      <c r="W8" s="297"/>
      <c r="X8" s="297"/>
      <c r="Y8" s="297"/>
      <c r="Z8" s="297"/>
      <c r="AA8" s="297"/>
      <c r="AB8" s="297"/>
      <c r="AC8" s="297"/>
      <c r="AD8" s="297"/>
      <c r="AE8" s="297"/>
      <c r="AF8" s="297"/>
      <c r="AG8" s="297"/>
      <c r="AH8" s="297"/>
      <c r="AI8" s="297"/>
      <c r="AJ8" s="297"/>
      <c r="AK8" s="297"/>
      <c r="AL8" s="297"/>
      <c r="AM8" s="297"/>
      <c r="AN8" s="297"/>
      <c r="AO8" s="297"/>
      <c r="AP8" s="297"/>
      <c r="AQ8" s="297"/>
      <c r="AR8" s="297"/>
      <c r="AS8" s="297"/>
      <c r="AT8" s="297"/>
      <c r="AU8" s="297"/>
      <c r="AV8" s="297"/>
      <c r="AW8" s="297"/>
      <c r="AX8" s="297"/>
      <c r="AY8" s="297"/>
      <c r="AZ8" s="297"/>
      <c r="BA8" s="297"/>
      <c r="BB8" s="297"/>
      <c r="BC8" s="297"/>
      <c r="BD8" s="297"/>
      <c r="BE8" s="297"/>
      <c r="BF8" s="297"/>
      <c r="BG8" s="297"/>
      <c r="BH8" s="451">
        <v>25200</v>
      </c>
      <c r="BI8" s="297"/>
      <c r="BJ8" s="298"/>
    </row>
    <row r="9" spans="2:62" ht="15" thickBot="1">
      <c r="B9" s="299"/>
      <c r="C9" s="297"/>
      <c r="D9" s="297"/>
      <c r="E9" s="297"/>
      <c r="F9" s="297"/>
      <c r="G9" s="297"/>
      <c r="H9" s="297"/>
      <c r="I9" s="297">
        <v>4</v>
      </c>
      <c r="J9" s="304">
        <v>1</v>
      </c>
      <c r="K9" s="297"/>
      <c r="L9" s="297"/>
      <c r="M9" s="297"/>
      <c r="N9" s="297"/>
      <c r="O9" s="297"/>
      <c r="P9" s="297"/>
      <c r="Q9" s="297"/>
      <c r="R9" s="297"/>
      <c r="S9" s="297"/>
      <c r="T9" s="297"/>
      <c r="U9" s="297"/>
      <c r="V9" s="297"/>
      <c r="W9" s="297"/>
      <c r="X9" s="297"/>
      <c r="Y9" s="297"/>
      <c r="Z9" s="297"/>
      <c r="AA9" s="297"/>
      <c r="AB9" s="297"/>
      <c r="AC9" s="297"/>
      <c r="AD9" s="297"/>
      <c r="AE9" s="297"/>
      <c r="AF9" s="297"/>
      <c r="AG9" s="297"/>
      <c r="AH9" s="297"/>
      <c r="AI9" s="297"/>
      <c r="AJ9" s="297"/>
      <c r="AK9" s="297"/>
      <c r="AL9" s="297"/>
      <c r="AM9" s="297"/>
      <c r="AN9" s="297"/>
      <c r="AO9" s="297"/>
      <c r="AP9" s="297"/>
      <c r="AQ9" s="297"/>
      <c r="AR9" s="297"/>
      <c r="AS9" s="297"/>
      <c r="AT9" s="297"/>
      <c r="AU9" s="297"/>
      <c r="AV9" s="297"/>
      <c r="AW9" s="297"/>
      <c r="AX9" s="297"/>
      <c r="AY9" s="297"/>
      <c r="AZ9" s="297"/>
      <c r="BA9" s="297"/>
      <c r="BB9" s="297"/>
      <c r="BC9" s="297"/>
      <c r="BD9" s="297"/>
      <c r="BE9" s="297"/>
      <c r="BF9" s="297"/>
      <c r="BG9" s="297"/>
      <c r="BH9" s="451"/>
      <c r="BI9" s="297"/>
      <c r="BJ9" s="298"/>
    </row>
    <row r="10" spans="2:62" ht="15" thickBot="1">
      <c r="B10" s="299"/>
      <c r="C10" s="297"/>
      <c r="D10" s="297"/>
      <c r="E10" s="297"/>
      <c r="F10" s="297"/>
      <c r="G10" s="297"/>
      <c r="H10" s="297"/>
      <c r="I10" s="297">
        <v>5</v>
      </c>
      <c r="J10" s="305">
        <v>0</v>
      </c>
      <c r="K10" s="297"/>
      <c r="L10" s="297"/>
      <c r="M10" s="297"/>
      <c r="N10" s="297"/>
      <c r="O10" s="307"/>
      <c r="P10" s="308" t="s">
        <v>368</v>
      </c>
      <c r="Q10" s="308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451"/>
      <c r="BI10" s="297"/>
      <c r="BJ10" s="298"/>
    </row>
    <row r="11" spans="2:62">
      <c r="B11" s="299"/>
      <c r="C11" s="308"/>
      <c r="D11" s="308"/>
      <c r="E11" s="308"/>
      <c r="F11" s="308"/>
      <c r="G11" s="308"/>
      <c r="H11" s="308"/>
      <c r="I11" s="297" t="s">
        <v>213</v>
      </c>
      <c r="J11" s="308"/>
      <c r="K11" s="308"/>
      <c r="L11" s="308"/>
      <c r="M11" s="308"/>
      <c r="N11" s="308"/>
      <c r="O11" s="308"/>
      <c r="P11" s="308"/>
      <c r="Q11" s="308"/>
      <c r="R11" s="308"/>
      <c r="S11" s="308"/>
      <c r="T11" s="308"/>
      <c r="U11" s="308"/>
      <c r="V11" s="308"/>
      <c r="W11" s="308"/>
      <c r="X11" s="308"/>
      <c r="Y11" s="308"/>
      <c r="Z11" s="308"/>
      <c r="AA11" s="308"/>
      <c r="AB11" s="308"/>
      <c r="AC11" s="308"/>
      <c r="AD11" s="308"/>
      <c r="AE11" s="308"/>
      <c r="AF11" s="308"/>
      <c r="AG11" s="308"/>
      <c r="AH11" s="308"/>
      <c r="AI11" s="308"/>
      <c r="AJ11" s="308"/>
      <c r="AK11" s="308"/>
      <c r="AL11" s="308"/>
      <c r="AM11" s="308"/>
      <c r="AN11" s="308"/>
      <c r="AO11" s="308"/>
      <c r="AP11" s="308"/>
      <c r="AQ11" s="308"/>
      <c r="AR11" s="308"/>
      <c r="AS11" s="308"/>
      <c r="AT11" s="308"/>
      <c r="AU11" s="308"/>
      <c r="AV11" s="308"/>
      <c r="AW11" s="308"/>
      <c r="AX11" s="308"/>
      <c r="AY11" s="308"/>
      <c r="AZ11" s="308"/>
      <c r="BA11" s="308"/>
      <c r="BB11" s="308"/>
      <c r="BC11" s="308"/>
      <c r="BE11" s="308"/>
      <c r="BF11" s="308"/>
      <c r="BG11" s="308"/>
      <c r="BH11" s="451"/>
      <c r="BI11" s="297"/>
      <c r="BJ11" s="298"/>
    </row>
    <row r="12" spans="2:62">
      <c r="B12" s="299"/>
      <c r="C12" s="308"/>
      <c r="D12" s="308"/>
      <c r="E12" s="308"/>
      <c r="F12" s="308"/>
      <c r="G12" s="308"/>
      <c r="H12" s="308"/>
      <c r="I12" s="308"/>
      <c r="J12" s="308"/>
      <c r="K12" s="308"/>
      <c r="L12" s="308"/>
      <c r="M12" s="308"/>
      <c r="N12" s="308"/>
      <c r="O12" s="308"/>
      <c r="P12" s="308"/>
      <c r="Q12" s="308"/>
      <c r="S12" s="309"/>
      <c r="U12" s="308"/>
      <c r="V12" s="308"/>
      <c r="W12" s="308"/>
      <c r="X12" s="308"/>
      <c r="Y12" s="308"/>
      <c r="Z12" s="308"/>
      <c r="AA12" s="308"/>
      <c r="AB12" s="308"/>
      <c r="AC12" s="308"/>
      <c r="AD12" s="308"/>
      <c r="AE12" s="308"/>
      <c r="AF12" s="308"/>
      <c r="AG12" s="308"/>
      <c r="AH12" s="308"/>
      <c r="AI12" s="308"/>
      <c r="AJ12" s="308"/>
      <c r="AK12" s="308"/>
      <c r="AL12" s="308"/>
      <c r="AM12" s="308"/>
      <c r="AN12" s="308"/>
      <c r="AO12" s="308"/>
      <c r="AP12" s="308"/>
      <c r="AQ12" s="308"/>
      <c r="AR12" s="308"/>
      <c r="AS12" s="308"/>
      <c r="AT12" s="308"/>
      <c r="AU12" s="308"/>
      <c r="AV12" s="308"/>
      <c r="AW12" s="308"/>
      <c r="AX12" s="308"/>
      <c r="AY12" s="308"/>
      <c r="AZ12" s="308"/>
      <c r="BA12" s="308"/>
      <c r="BB12" s="308"/>
      <c r="BC12" s="308"/>
      <c r="BD12" s="308" t="s">
        <v>384</v>
      </c>
      <c r="BE12" s="308"/>
      <c r="BF12" s="308"/>
      <c r="BG12" s="308"/>
      <c r="BH12" s="451"/>
      <c r="BI12" s="297"/>
      <c r="BJ12" s="298"/>
    </row>
    <row r="13" spans="2:62" ht="15" thickBot="1">
      <c r="B13" s="310"/>
      <c r="C13" s="311"/>
      <c r="D13" s="311"/>
      <c r="E13" s="311"/>
      <c r="F13" s="311"/>
      <c r="G13" s="311"/>
      <c r="H13" s="311"/>
      <c r="I13" s="311"/>
      <c r="J13" s="311"/>
      <c r="K13" s="311"/>
      <c r="L13" s="311"/>
      <c r="M13" s="311"/>
      <c r="N13" s="311"/>
      <c r="O13" s="311"/>
      <c r="P13" s="311"/>
      <c r="Q13" s="311"/>
      <c r="R13" s="311"/>
      <c r="S13" s="311"/>
      <c r="T13" s="311"/>
      <c r="U13" s="311"/>
      <c r="V13" s="311"/>
      <c r="W13" s="311"/>
      <c r="X13" s="311"/>
      <c r="Y13" s="311"/>
      <c r="Z13" s="311"/>
      <c r="AA13" s="311"/>
      <c r="AB13" s="311"/>
      <c r="AC13" s="311"/>
      <c r="AD13" s="311"/>
      <c r="AE13" s="311"/>
      <c r="AF13" s="311"/>
      <c r="AG13" s="311"/>
      <c r="AH13" s="311"/>
      <c r="AI13" s="311"/>
      <c r="AJ13" s="311"/>
      <c r="AK13" s="311"/>
      <c r="AL13" s="311"/>
      <c r="AM13" s="311"/>
      <c r="AN13" s="311"/>
      <c r="AO13" s="311"/>
      <c r="AP13" s="311"/>
      <c r="AQ13" s="311"/>
      <c r="AR13" s="311"/>
      <c r="AS13" s="311"/>
      <c r="AT13" s="311"/>
      <c r="AU13" s="311"/>
      <c r="AV13" s="311"/>
      <c r="AW13" s="311"/>
      <c r="AX13" s="311"/>
      <c r="AY13" s="311"/>
      <c r="AZ13" s="311"/>
      <c r="BA13" s="311"/>
      <c r="BB13" s="311"/>
      <c r="BC13" s="311"/>
      <c r="BD13" s="311"/>
      <c r="BE13" s="311"/>
      <c r="BF13" s="311"/>
      <c r="BG13" s="311"/>
      <c r="BH13" s="311"/>
      <c r="BI13" s="356"/>
      <c r="BJ13" s="312"/>
    </row>
    <row r="14" spans="2:62">
      <c r="BI14" s="357"/>
    </row>
    <row r="15" spans="2:62" ht="18" thickBot="1">
      <c r="B15" s="313" t="s">
        <v>378</v>
      </c>
      <c r="H15" s="18" t="s">
        <v>375</v>
      </c>
      <c r="BI15" s="358"/>
    </row>
    <row r="16" spans="2:62">
      <c r="B16" s="293"/>
      <c r="C16" s="294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4"/>
      <c r="BI16" s="355"/>
      <c r="BJ16" s="295"/>
    </row>
    <row r="17" spans="2:62" ht="15" thickBot="1">
      <c r="B17" s="296"/>
      <c r="C17" s="297"/>
      <c r="D17" s="297"/>
      <c r="E17" s="297"/>
      <c r="F17" s="297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297"/>
      <c r="R17" s="297"/>
      <c r="S17" s="297"/>
      <c r="T17" s="297"/>
      <c r="U17" s="297"/>
      <c r="V17" s="297"/>
      <c r="W17" s="297"/>
      <c r="X17" s="297"/>
      <c r="Y17" s="297"/>
      <c r="Z17" s="297"/>
      <c r="AA17" s="297"/>
      <c r="AB17" s="297"/>
      <c r="AC17" s="297"/>
      <c r="AD17" s="297"/>
      <c r="AE17" s="297"/>
      <c r="AF17" s="297"/>
      <c r="AG17" s="297"/>
      <c r="AH17" s="297"/>
      <c r="AI17" s="297"/>
      <c r="AJ17" s="297"/>
      <c r="AK17" s="297"/>
      <c r="AL17" s="297"/>
      <c r="AM17" s="297"/>
      <c r="AN17" s="297"/>
      <c r="AO17" s="297"/>
      <c r="AP17" s="297"/>
      <c r="AQ17" s="297"/>
      <c r="AR17" s="297"/>
      <c r="AS17" s="297"/>
      <c r="AT17" s="297"/>
      <c r="AU17" s="297"/>
      <c r="AV17" s="297"/>
      <c r="AW17" s="297"/>
      <c r="AX17" s="297"/>
      <c r="AY17" s="297"/>
      <c r="AZ17" s="297"/>
      <c r="BA17" s="297"/>
      <c r="BB17" s="297"/>
      <c r="BC17" s="297"/>
      <c r="BD17" s="297"/>
      <c r="BE17" s="297"/>
      <c r="BF17" s="297"/>
      <c r="BG17" s="297"/>
      <c r="BH17" s="297"/>
      <c r="BI17" s="297"/>
      <c r="BJ17" s="298"/>
    </row>
    <row r="18" spans="2:62" ht="15" thickBot="1">
      <c r="B18" s="299"/>
      <c r="C18" s="314">
        <v>12</v>
      </c>
      <c r="D18" s="315">
        <v>11</v>
      </c>
      <c r="E18" s="315">
        <v>10</v>
      </c>
      <c r="F18" s="315">
        <v>9</v>
      </c>
      <c r="G18" s="315">
        <v>8</v>
      </c>
      <c r="H18" s="315">
        <v>7</v>
      </c>
      <c r="I18" s="316">
        <v>6</v>
      </c>
      <c r="J18" s="314">
        <v>5</v>
      </c>
      <c r="K18" s="315">
        <v>13</v>
      </c>
      <c r="L18" s="314">
        <v>14</v>
      </c>
      <c r="M18" s="315">
        <v>15</v>
      </c>
      <c r="N18" s="315">
        <v>16</v>
      </c>
      <c r="O18" s="315">
        <v>17</v>
      </c>
      <c r="P18" s="315">
        <v>18</v>
      </c>
      <c r="Q18" s="315">
        <v>19</v>
      </c>
      <c r="R18" s="314">
        <v>20</v>
      </c>
      <c r="S18" s="315">
        <v>21</v>
      </c>
      <c r="T18" s="314">
        <v>22</v>
      </c>
      <c r="U18" s="315">
        <v>23</v>
      </c>
      <c r="V18" s="314">
        <v>24</v>
      </c>
      <c r="W18" s="315">
        <v>25</v>
      </c>
      <c r="X18" s="314">
        <v>26</v>
      </c>
      <c r="Y18" s="315">
        <v>27</v>
      </c>
      <c r="Z18" s="314">
        <v>28</v>
      </c>
      <c r="AA18" s="315">
        <v>29</v>
      </c>
      <c r="AB18" s="314">
        <v>30</v>
      </c>
      <c r="AC18" s="315">
        <v>31</v>
      </c>
      <c r="AD18" s="314">
        <v>32</v>
      </c>
      <c r="AE18" s="315">
        <v>33</v>
      </c>
      <c r="AF18" s="314">
        <v>34</v>
      </c>
      <c r="AG18" s="336">
        <v>35</v>
      </c>
      <c r="AH18" s="335">
        <v>36</v>
      </c>
      <c r="AI18" s="336">
        <v>37</v>
      </c>
      <c r="AJ18" s="335">
        <v>38</v>
      </c>
      <c r="AK18" s="335">
        <v>39</v>
      </c>
      <c r="AL18" s="314">
        <v>40</v>
      </c>
      <c r="AM18" s="315">
        <v>41</v>
      </c>
      <c r="AN18" s="314">
        <v>42</v>
      </c>
      <c r="AO18" s="315">
        <v>43</v>
      </c>
      <c r="AP18" s="314">
        <v>44</v>
      </c>
      <c r="AQ18" s="315">
        <v>45</v>
      </c>
      <c r="AR18" s="314">
        <v>46</v>
      </c>
      <c r="AS18" s="315">
        <v>47</v>
      </c>
      <c r="AT18" s="314">
        <v>48</v>
      </c>
      <c r="AU18" s="315">
        <v>49</v>
      </c>
      <c r="AV18" s="314">
        <v>50</v>
      </c>
      <c r="AW18" s="315">
        <v>51</v>
      </c>
      <c r="AX18" s="314">
        <v>52</v>
      </c>
      <c r="AY18" s="315">
        <v>53</v>
      </c>
      <c r="AZ18" s="314">
        <v>54</v>
      </c>
      <c r="BA18" s="315">
        <v>55</v>
      </c>
      <c r="BB18" s="314">
        <v>56</v>
      </c>
      <c r="BC18" s="315">
        <v>57</v>
      </c>
      <c r="BD18" s="314">
        <v>58</v>
      </c>
      <c r="BE18" s="315">
        <v>59</v>
      </c>
      <c r="BF18" s="314">
        <v>60</v>
      </c>
      <c r="BG18" s="315">
        <v>61</v>
      </c>
      <c r="BH18" s="314">
        <v>62</v>
      </c>
      <c r="BI18" s="297"/>
      <c r="BJ18" s="298"/>
    </row>
    <row r="19" spans="2:62" ht="15" thickBot="1">
      <c r="B19" s="299"/>
      <c r="C19" s="297"/>
      <c r="D19" s="297"/>
      <c r="E19" s="297"/>
      <c r="F19" s="297"/>
      <c r="G19" s="297"/>
      <c r="H19" s="297"/>
      <c r="I19" s="297"/>
      <c r="J19" s="314">
        <v>4</v>
      </c>
      <c r="K19" s="297"/>
      <c r="L19" s="297"/>
      <c r="M19" s="297"/>
      <c r="N19" s="297"/>
      <c r="O19" s="297"/>
      <c r="P19" s="297"/>
      <c r="Q19" s="297"/>
      <c r="R19" s="297"/>
      <c r="S19" s="297"/>
      <c r="T19" s="297"/>
      <c r="U19" s="297"/>
      <c r="V19" s="297"/>
      <c r="W19" s="297"/>
      <c r="X19" s="297"/>
      <c r="Y19" s="297"/>
      <c r="Z19" s="297"/>
      <c r="AA19" s="297"/>
      <c r="AB19" s="297"/>
      <c r="AC19" s="297"/>
      <c r="AD19" s="297"/>
      <c r="AE19" s="297"/>
      <c r="AF19" s="297"/>
      <c r="AG19" s="297"/>
      <c r="AH19" s="297"/>
      <c r="AI19" s="297"/>
      <c r="AJ19" s="297"/>
      <c r="AK19" s="297"/>
      <c r="AL19" s="297"/>
      <c r="AM19" s="297"/>
      <c r="AN19" s="297"/>
      <c r="AO19" s="297"/>
      <c r="AP19" s="297"/>
      <c r="AQ19" s="297"/>
      <c r="AR19" s="297"/>
      <c r="AS19" s="297"/>
      <c r="AT19" s="297"/>
      <c r="AU19" s="297"/>
      <c r="AV19" s="297"/>
      <c r="AW19" s="297"/>
      <c r="AX19" s="297"/>
      <c r="AY19" s="297"/>
      <c r="AZ19" s="297"/>
      <c r="BA19" s="297"/>
      <c r="BB19" s="297"/>
      <c r="BC19" s="297"/>
      <c r="BD19" s="297"/>
      <c r="BE19" s="297"/>
      <c r="BF19" s="297"/>
      <c r="BG19" s="297"/>
      <c r="BH19" s="297"/>
      <c r="BI19" s="297"/>
      <c r="BJ19" s="298"/>
    </row>
    <row r="20" spans="2:62" ht="15" thickBot="1">
      <c r="B20" s="299"/>
      <c r="C20" s="297"/>
      <c r="D20" s="297"/>
      <c r="E20" s="297"/>
      <c r="F20" s="297"/>
      <c r="G20" s="297"/>
      <c r="H20" s="297"/>
      <c r="I20" s="297"/>
      <c r="J20" s="314">
        <v>3</v>
      </c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297"/>
      <c r="V20" s="297"/>
      <c r="W20" s="297"/>
      <c r="X20" s="297"/>
      <c r="Y20" s="297"/>
      <c r="Z20" s="297"/>
      <c r="AA20" s="297"/>
      <c r="AB20" s="297"/>
      <c r="AC20" s="297"/>
      <c r="AD20" s="297"/>
      <c r="AE20" s="297"/>
      <c r="AF20" s="297"/>
      <c r="AH20" s="297"/>
      <c r="AI20" s="297"/>
      <c r="AJ20" s="297"/>
      <c r="AK20" s="297"/>
      <c r="AL20" s="309"/>
      <c r="AM20" s="309"/>
      <c r="AN20" s="309"/>
      <c r="AO20" s="309"/>
      <c r="AP20" s="309"/>
      <c r="AQ20" s="309"/>
      <c r="AR20" s="309"/>
      <c r="AS20" s="309"/>
      <c r="AT20" s="309"/>
      <c r="AU20" s="309"/>
      <c r="AV20" s="309"/>
      <c r="AW20" s="309"/>
      <c r="AX20" s="309"/>
      <c r="AY20" s="297"/>
      <c r="AZ20" s="297"/>
      <c r="BA20" s="297"/>
      <c r="BB20" s="297"/>
      <c r="BC20" s="297"/>
      <c r="BD20" s="297"/>
      <c r="BE20" s="297"/>
      <c r="BF20" s="297"/>
      <c r="BG20" s="297"/>
      <c r="BH20" s="297"/>
      <c r="BI20" s="297"/>
      <c r="BJ20" s="298"/>
    </row>
    <row r="21" spans="2:62" ht="15" thickBot="1">
      <c r="B21" s="299"/>
      <c r="C21" s="297"/>
      <c r="D21" s="297"/>
      <c r="E21" s="297"/>
      <c r="F21" s="297"/>
      <c r="G21" s="297"/>
      <c r="H21" s="297"/>
      <c r="I21" s="297"/>
      <c r="J21" s="314">
        <v>2</v>
      </c>
      <c r="K21" s="297"/>
      <c r="L21" s="297"/>
      <c r="M21" s="297"/>
      <c r="N21" s="297"/>
      <c r="O21" s="308"/>
      <c r="P21" s="308"/>
      <c r="Q21" s="308"/>
      <c r="R21" s="308"/>
      <c r="S21" s="308"/>
      <c r="T21" s="297"/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297"/>
      <c r="AH21" s="297"/>
      <c r="AI21" s="297"/>
      <c r="AJ21" s="297"/>
      <c r="AK21" s="297"/>
      <c r="AL21" s="309"/>
      <c r="AM21" s="309"/>
      <c r="AN21" s="309"/>
      <c r="AO21" s="309"/>
      <c r="AP21" s="309"/>
      <c r="AQ21" s="309"/>
      <c r="AR21" s="309"/>
      <c r="AS21" s="309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09"/>
      <c r="BE21" s="309"/>
      <c r="BF21" s="309"/>
      <c r="BG21" s="309"/>
      <c r="BH21" s="309"/>
      <c r="BI21" s="297"/>
      <c r="BJ21" s="298"/>
    </row>
    <row r="22" spans="2:62" ht="15" thickBot="1">
      <c r="B22" s="299"/>
      <c r="C22" s="297"/>
      <c r="D22" s="297"/>
      <c r="E22" s="297"/>
      <c r="F22" s="297"/>
      <c r="G22" s="297"/>
      <c r="H22" s="297"/>
      <c r="I22" s="297"/>
      <c r="J22" s="314">
        <v>1</v>
      </c>
      <c r="K22" s="297"/>
      <c r="L22" s="297"/>
      <c r="M22" s="297"/>
      <c r="N22" s="297"/>
      <c r="O22" s="308"/>
      <c r="P22" s="308"/>
      <c r="Q22" s="308"/>
      <c r="R22" s="308"/>
      <c r="S22" s="308"/>
      <c r="T22" s="297"/>
      <c r="U22" s="297"/>
      <c r="V22" s="297"/>
      <c r="W22" s="297"/>
      <c r="X22" s="297"/>
      <c r="Y22" s="297"/>
      <c r="Z22" s="297"/>
      <c r="AA22" s="297"/>
      <c r="AB22" s="297"/>
      <c r="AC22" s="297"/>
      <c r="AD22" s="297"/>
      <c r="AE22" s="297"/>
      <c r="AF22" s="297"/>
      <c r="AG22" s="297"/>
      <c r="AH22" s="297"/>
      <c r="AI22" s="297"/>
      <c r="AJ22" s="297"/>
      <c r="AK22" s="297"/>
      <c r="AL22" s="297"/>
      <c r="AM22" s="297"/>
      <c r="AN22" s="297"/>
      <c r="AO22" s="297"/>
      <c r="AP22" s="297"/>
      <c r="AQ22" s="297"/>
      <c r="AR22" s="297"/>
      <c r="AS22" s="297"/>
      <c r="AT22" s="297"/>
      <c r="AU22" s="297"/>
      <c r="AV22" s="297"/>
      <c r="AW22" s="297"/>
      <c r="AX22" s="297"/>
      <c r="AY22" s="297"/>
      <c r="AZ22" s="297"/>
      <c r="BA22" s="297"/>
      <c r="BB22" s="297"/>
      <c r="BC22" s="297"/>
      <c r="BD22" s="297"/>
      <c r="BE22" s="297"/>
      <c r="BF22" s="297"/>
      <c r="BG22" s="297"/>
      <c r="BH22" s="297"/>
      <c r="BI22" s="297"/>
      <c r="BJ22" s="298"/>
    </row>
    <row r="23" spans="2:62" ht="15" thickBot="1">
      <c r="B23" s="299"/>
      <c r="C23" s="297"/>
      <c r="D23" s="297"/>
      <c r="E23" s="297"/>
      <c r="F23" s="297"/>
      <c r="G23" s="297"/>
      <c r="H23" s="297"/>
      <c r="I23" s="297"/>
      <c r="J23" s="314">
        <v>0</v>
      </c>
      <c r="K23" s="297"/>
      <c r="L23" s="297"/>
      <c r="M23" s="297"/>
      <c r="N23" s="297"/>
      <c r="O23" s="337"/>
      <c r="P23" s="308" t="s">
        <v>376</v>
      </c>
      <c r="Q23" s="308"/>
      <c r="R23" s="308"/>
      <c r="S23" s="308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297"/>
      <c r="AH23" s="297"/>
      <c r="AI23" s="297"/>
      <c r="AJ23" s="297"/>
      <c r="AK23" s="297"/>
      <c r="AL23" s="297"/>
      <c r="AM23" s="297"/>
      <c r="AN23" s="297"/>
      <c r="AO23" s="297"/>
      <c r="AP23" s="297"/>
      <c r="AQ23" s="297"/>
      <c r="AR23" s="297"/>
      <c r="AS23" s="297"/>
      <c r="AT23" s="297"/>
      <c r="AU23" s="297"/>
      <c r="AV23" s="297"/>
      <c r="AW23" s="297"/>
      <c r="AX23" s="297"/>
      <c r="AY23" s="297"/>
      <c r="AZ23" s="297"/>
      <c r="BA23" s="297"/>
      <c r="BB23" s="297"/>
      <c r="BC23" s="297"/>
      <c r="BD23" s="297"/>
      <c r="BE23" s="297"/>
      <c r="BF23" s="297"/>
      <c r="BG23" s="297"/>
      <c r="BH23" s="297"/>
      <c r="BI23" s="297"/>
      <c r="BJ23" s="298"/>
    </row>
    <row r="24" spans="2:62">
      <c r="B24" s="299"/>
      <c r="C24" s="308"/>
      <c r="D24" s="308"/>
      <c r="E24" s="308"/>
      <c r="F24" s="308"/>
      <c r="G24" s="308"/>
      <c r="H24" s="308"/>
      <c r="I24" s="297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E24" s="308"/>
      <c r="AG24" s="308"/>
      <c r="AH24" s="308"/>
      <c r="AI24" s="308"/>
      <c r="AJ24" s="308"/>
      <c r="AK24" s="308"/>
      <c r="AL24" s="308"/>
      <c r="AM24" s="308"/>
      <c r="AN24" s="308"/>
      <c r="AO24" s="308"/>
      <c r="AP24" s="308"/>
      <c r="AQ24" s="308"/>
      <c r="AR24" s="308"/>
      <c r="AS24" s="308"/>
      <c r="AT24" s="308"/>
      <c r="AU24" s="308"/>
      <c r="AV24" s="308"/>
      <c r="AW24" s="308"/>
      <c r="AX24" s="308"/>
      <c r="AY24" s="308"/>
      <c r="AZ24" s="308"/>
      <c r="BA24" s="308"/>
      <c r="BB24" s="308"/>
      <c r="BC24" s="308"/>
      <c r="BD24" s="308"/>
      <c r="BE24" s="308"/>
      <c r="BF24" s="308"/>
      <c r="BG24" s="308"/>
      <c r="BH24" s="308"/>
      <c r="BI24" s="297"/>
      <c r="BJ24" s="298"/>
    </row>
    <row r="25" spans="2:62">
      <c r="B25" s="299"/>
      <c r="C25" s="308"/>
      <c r="D25" s="308"/>
      <c r="E25" s="308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U25" s="308"/>
      <c r="V25" s="308"/>
      <c r="W25" s="308"/>
      <c r="X25" s="308"/>
      <c r="Y25" s="308"/>
      <c r="Z25" s="308"/>
      <c r="AA25" s="308"/>
      <c r="AB25" s="308"/>
      <c r="AC25" s="308"/>
      <c r="AD25" s="308"/>
      <c r="AE25" s="308"/>
      <c r="AF25" s="308"/>
      <c r="AG25" s="308"/>
      <c r="AH25" s="308"/>
      <c r="AI25" s="308"/>
      <c r="AJ25" s="308"/>
      <c r="AK25" s="308"/>
      <c r="AL25" s="308"/>
      <c r="AM25" s="308"/>
      <c r="AN25" s="308"/>
      <c r="AO25" s="308"/>
      <c r="AP25" s="308"/>
      <c r="AQ25" s="308"/>
      <c r="AR25" s="308"/>
      <c r="AS25" s="308"/>
      <c r="AT25" s="308"/>
      <c r="AU25" s="308"/>
      <c r="AV25" s="308"/>
      <c r="AW25" s="308"/>
      <c r="AX25" s="308"/>
      <c r="AY25" s="308"/>
      <c r="AZ25" s="308"/>
      <c r="BA25" s="308"/>
      <c r="BB25" s="308"/>
      <c r="BC25" s="308" t="s">
        <v>484</v>
      </c>
      <c r="BD25" s="308">
        <f>COUNTA(C18:BH18,J19:J23)</f>
        <v>63</v>
      </c>
      <c r="BE25" s="308" t="s">
        <v>485</v>
      </c>
      <c r="BF25" s="308"/>
      <c r="BG25" s="308"/>
      <c r="BH25" s="308"/>
      <c r="BI25" s="297"/>
      <c r="BJ25" s="298"/>
    </row>
    <row r="26" spans="2:62" ht="15" thickBot="1">
      <c r="B26" s="310"/>
      <c r="C26" s="311"/>
      <c r="D26" s="311"/>
      <c r="E26" s="311"/>
      <c r="F26" s="311"/>
      <c r="G26" s="311"/>
      <c r="H26" s="311"/>
      <c r="I26" s="311"/>
      <c r="J26" s="311"/>
      <c r="K26" s="311"/>
      <c r="L26" s="311"/>
      <c r="M26" s="311"/>
      <c r="N26" s="311"/>
      <c r="O26" s="311"/>
      <c r="P26" s="311"/>
      <c r="Q26" s="311"/>
      <c r="R26" s="311"/>
      <c r="S26" s="311"/>
      <c r="T26" s="311"/>
      <c r="U26" s="311"/>
      <c r="V26" s="311"/>
      <c r="W26" s="311"/>
      <c r="X26" s="311"/>
      <c r="Y26" s="311"/>
      <c r="Z26" s="311"/>
      <c r="AA26" s="311"/>
      <c r="AB26" s="311"/>
      <c r="AC26" s="311"/>
      <c r="AD26" s="311"/>
      <c r="AE26" s="311"/>
      <c r="AF26" s="311"/>
      <c r="AG26" s="311"/>
      <c r="AH26" s="311"/>
      <c r="AI26" s="311"/>
      <c r="AJ26" s="311"/>
      <c r="AK26" s="311"/>
      <c r="AL26" s="311"/>
      <c r="AM26" s="311"/>
      <c r="AN26" s="311"/>
      <c r="AO26" s="311"/>
      <c r="AP26" s="311"/>
      <c r="AQ26" s="311"/>
      <c r="AR26" s="311"/>
      <c r="AS26" s="311"/>
      <c r="AT26" s="311"/>
      <c r="AU26" s="311"/>
      <c r="AV26" s="311"/>
      <c r="AW26" s="311"/>
      <c r="AX26" s="311"/>
      <c r="AY26" s="311"/>
      <c r="AZ26" s="311"/>
      <c r="BA26" s="311"/>
      <c r="BB26" s="311"/>
      <c r="BC26" s="311"/>
      <c r="BD26" s="311"/>
      <c r="BE26" s="311"/>
      <c r="BF26" s="311"/>
      <c r="BG26" s="311"/>
      <c r="BH26" s="311"/>
      <c r="BI26" s="356"/>
      <c r="BJ26" s="312"/>
    </row>
  </sheetData>
  <mergeCells count="1">
    <mergeCell ref="BH8:BH12"/>
  </mergeCells>
  <phoneticPr fontId="2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BJ72"/>
  <sheetViews>
    <sheetView zoomScale="85" zoomScaleNormal="85" workbookViewId="0">
      <selection activeCell="AG34" sqref="AG34:AK34"/>
    </sheetView>
  </sheetViews>
  <sheetFormatPr baseColWidth="10" defaultColWidth="9" defaultRowHeight="14"/>
  <cols>
    <col min="1" max="1" width="2.33203125" style="18" customWidth="1"/>
    <col min="2" max="2" width="3.6640625" style="18" customWidth="1"/>
    <col min="3" max="61" width="4.33203125" style="18" customWidth="1"/>
    <col min="62" max="62" width="6.5" style="18" customWidth="1"/>
    <col min="63" max="16384" width="9" style="18"/>
  </cols>
  <sheetData>
    <row r="1" spans="2:62">
      <c r="G1" s="17"/>
    </row>
    <row r="2" spans="2:62" ht="18" thickBot="1">
      <c r="B2" s="313" t="s">
        <v>377</v>
      </c>
      <c r="H2" s="18" t="s">
        <v>370</v>
      </c>
    </row>
    <row r="3" spans="2:62">
      <c r="B3" s="293"/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4"/>
      <c r="U3" s="294"/>
      <c r="V3" s="294"/>
      <c r="W3" s="294"/>
      <c r="X3" s="294"/>
      <c r="Y3" s="294"/>
      <c r="Z3" s="294"/>
      <c r="AA3" s="294"/>
      <c r="AB3" s="294"/>
      <c r="AC3" s="294"/>
      <c r="AD3" s="294"/>
      <c r="AE3" s="294"/>
      <c r="AF3" s="294"/>
      <c r="AG3" s="294"/>
      <c r="AH3" s="294"/>
      <c r="AI3" s="294"/>
      <c r="AJ3" s="294"/>
      <c r="AK3" s="294"/>
      <c r="AL3" s="294"/>
      <c r="AM3" s="294"/>
      <c r="AN3" s="294"/>
      <c r="AO3" s="294"/>
      <c r="AP3" s="294"/>
      <c r="AQ3" s="294"/>
      <c r="AR3" s="294"/>
      <c r="AS3" s="294"/>
      <c r="AT3" s="294"/>
      <c r="AU3" s="294"/>
      <c r="AV3" s="294"/>
      <c r="AW3" s="294"/>
      <c r="AX3" s="294"/>
      <c r="AY3" s="294"/>
      <c r="AZ3" s="294"/>
      <c r="BA3" s="294"/>
      <c r="BB3" s="294"/>
      <c r="BC3" s="294"/>
      <c r="BD3" s="294"/>
      <c r="BE3" s="294"/>
      <c r="BF3" s="294"/>
      <c r="BG3" s="294"/>
      <c r="BH3" s="294"/>
      <c r="BI3" s="294"/>
      <c r="BJ3" s="295"/>
    </row>
    <row r="4" spans="2:62" ht="15" thickBot="1">
      <c r="B4" s="296" t="s">
        <v>369</v>
      </c>
      <c r="C4" s="297">
        <v>-7</v>
      </c>
      <c r="D4" s="297">
        <v>-6</v>
      </c>
      <c r="E4" s="297">
        <v>-5</v>
      </c>
      <c r="F4" s="297">
        <v>-4</v>
      </c>
      <c r="G4" s="297">
        <v>-3</v>
      </c>
      <c r="H4" s="297">
        <v>-2</v>
      </c>
      <c r="I4" s="297">
        <v>-1</v>
      </c>
      <c r="J4" s="297">
        <v>0</v>
      </c>
      <c r="K4" s="297">
        <v>1</v>
      </c>
      <c r="L4" s="297">
        <v>2</v>
      </c>
      <c r="M4" s="297">
        <v>3</v>
      </c>
      <c r="N4" s="297">
        <v>4</v>
      </c>
      <c r="O4" s="297">
        <v>5</v>
      </c>
      <c r="P4" s="297">
        <v>6</v>
      </c>
      <c r="Q4" s="297">
        <v>7</v>
      </c>
      <c r="R4" s="297">
        <v>8</v>
      </c>
      <c r="S4" s="297">
        <v>9</v>
      </c>
      <c r="T4" s="297">
        <v>10</v>
      </c>
      <c r="U4" s="297">
        <v>11</v>
      </c>
      <c r="V4" s="297">
        <v>12</v>
      </c>
      <c r="W4" s="297">
        <v>13</v>
      </c>
      <c r="X4" s="297">
        <v>14</v>
      </c>
      <c r="Y4" s="297">
        <v>15</v>
      </c>
      <c r="Z4" s="297">
        <v>16</v>
      </c>
      <c r="AA4" s="297">
        <v>17</v>
      </c>
      <c r="AB4" s="297">
        <v>18</v>
      </c>
      <c r="AC4" s="297">
        <v>19</v>
      </c>
      <c r="AD4" s="297">
        <v>20</v>
      </c>
      <c r="AE4" s="297">
        <v>21</v>
      </c>
      <c r="AF4" s="297">
        <v>22</v>
      </c>
      <c r="AG4" s="297">
        <v>23</v>
      </c>
      <c r="AH4" s="297">
        <v>24</v>
      </c>
      <c r="AI4" s="297">
        <v>25</v>
      </c>
      <c r="AJ4" s="297">
        <v>26</v>
      </c>
      <c r="AK4" s="297">
        <v>27</v>
      </c>
      <c r="AL4" s="297">
        <v>28</v>
      </c>
      <c r="AM4" s="297">
        <v>29</v>
      </c>
      <c r="AN4" s="297">
        <v>30</v>
      </c>
      <c r="AO4" s="297">
        <v>31</v>
      </c>
      <c r="AP4" s="297">
        <v>32</v>
      </c>
      <c r="AQ4" s="297">
        <v>33</v>
      </c>
      <c r="AR4" s="297">
        <v>34</v>
      </c>
      <c r="AS4" s="297">
        <v>35</v>
      </c>
      <c r="AT4" s="297">
        <v>36</v>
      </c>
      <c r="AU4" s="297">
        <v>37</v>
      </c>
      <c r="AV4" s="297">
        <v>38</v>
      </c>
      <c r="AW4" s="297">
        <v>39</v>
      </c>
      <c r="AX4" s="297">
        <v>40</v>
      </c>
      <c r="AY4" s="297">
        <v>41</v>
      </c>
      <c r="AZ4" s="297">
        <v>42</v>
      </c>
      <c r="BA4" s="297">
        <v>43</v>
      </c>
      <c r="BB4" s="297">
        <v>44</v>
      </c>
      <c r="BC4" s="297">
        <v>45</v>
      </c>
      <c r="BD4" s="297">
        <v>46</v>
      </c>
      <c r="BE4" s="297">
        <v>47</v>
      </c>
      <c r="BF4" s="297">
        <v>48</v>
      </c>
      <c r="BG4" s="297">
        <v>49</v>
      </c>
      <c r="BH4" s="297">
        <v>50</v>
      </c>
      <c r="BI4" s="297"/>
      <c r="BJ4" s="298"/>
    </row>
    <row r="5" spans="2:62" ht="15" thickBot="1">
      <c r="B5" s="299"/>
      <c r="C5" s="314">
        <v>12</v>
      </c>
      <c r="D5" s="301">
        <v>11</v>
      </c>
      <c r="E5" s="301">
        <v>10</v>
      </c>
      <c r="F5" s="302">
        <v>9</v>
      </c>
      <c r="G5" s="301">
        <v>8</v>
      </c>
      <c r="H5" s="301">
        <v>7</v>
      </c>
      <c r="I5" s="303">
        <v>6</v>
      </c>
      <c r="J5" s="304">
        <v>5</v>
      </c>
      <c r="K5" s="302">
        <v>13</v>
      </c>
      <c r="L5" s="305">
        <v>14</v>
      </c>
      <c r="M5" s="301">
        <v>15</v>
      </c>
      <c r="N5" s="301">
        <v>16</v>
      </c>
      <c r="O5" s="302">
        <v>17</v>
      </c>
      <c r="P5" s="301">
        <v>18</v>
      </c>
      <c r="Q5" s="301">
        <v>19</v>
      </c>
      <c r="R5" s="305">
        <v>20</v>
      </c>
      <c r="S5" s="302">
        <v>21</v>
      </c>
      <c r="T5" s="305">
        <v>22</v>
      </c>
      <c r="U5" s="301">
        <v>23</v>
      </c>
      <c r="V5" s="305">
        <v>24</v>
      </c>
      <c r="W5" s="302">
        <v>25</v>
      </c>
      <c r="X5" s="305">
        <v>26</v>
      </c>
      <c r="Y5" s="301">
        <v>27</v>
      </c>
      <c r="Z5" s="305">
        <v>28</v>
      </c>
      <c r="AA5" s="302">
        <v>29</v>
      </c>
      <c r="AB5" s="305">
        <v>30</v>
      </c>
      <c r="AC5" s="301">
        <v>31</v>
      </c>
      <c r="AD5" s="305">
        <v>32</v>
      </c>
      <c r="AE5" s="302">
        <v>33</v>
      </c>
      <c r="AF5" s="305">
        <v>34</v>
      </c>
      <c r="AG5" s="301">
        <v>35</v>
      </c>
      <c r="AH5" s="305">
        <v>36</v>
      </c>
      <c r="AI5" s="302">
        <v>37</v>
      </c>
      <c r="AJ5" s="305">
        <v>38</v>
      </c>
      <c r="AK5" s="301">
        <v>39</v>
      </c>
      <c r="AL5" s="305">
        <v>40</v>
      </c>
      <c r="AM5" s="302">
        <v>41</v>
      </c>
      <c r="AN5" s="305">
        <v>42</v>
      </c>
      <c r="AO5" s="301">
        <v>43</v>
      </c>
      <c r="AP5" s="305">
        <v>44</v>
      </c>
      <c r="AQ5" s="302">
        <v>45</v>
      </c>
      <c r="AR5" s="305">
        <v>46</v>
      </c>
      <c r="AS5" s="301">
        <v>47</v>
      </c>
      <c r="AT5" s="305">
        <v>48</v>
      </c>
      <c r="AU5" s="302">
        <v>49</v>
      </c>
      <c r="AV5" s="305">
        <v>50</v>
      </c>
      <c r="AW5" s="301">
        <v>51</v>
      </c>
      <c r="AX5" s="305">
        <v>52</v>
      </c>
      <c r="AY5" s="302">
        <v>53</v>
      </c>
      <c r="AZ5" s="305">
        <v>54</v>
      </c>
      <c r="BA5" s="301">
        <v>55</v>
      </c>
      <c r="BB5" s="305">
        <v>56</v>
      </c>
      <c r="BC5" s="302">
        <v>57</v>
      </c>
      <c r="BD5" s="305">
        <v>58</v>
      </c>
      <c r="BE5" s="301">
        <v>59</v>
      </c>
      <c r="BF5" s="305">
        <v>60</v>
      </c>
      <c r="BG5" s="302">
        <v>61</v>
      </c>
      <c r="BH5" s="318">
        <v>62</v>
      </c>
      <c r="BI5" s="320"/>
      <c r="BJ5" s="298"/>
    </row>
    <row r="6" spans="2:62" ht="15" thickBot="1">
      <c r="B6" s="299"/>
      <c r="C6" s="297"/>
      <c r="D6" s="297"/>
      <c r="E6" s="297"/>
      <c r="F6" s="297"/>
      <c r="G6" s="297"/>
      <c r="H6" s="297"/>
      <c r="I6" s="297">
        <v>1</v>
      </c>
      <c r="J6" s="305">
        <v>4</v>
      </c>
      <c r="K6" s="297"/>
      <c r="L6" s="297"/>
      <c r="M6" s="297"/>
      <c r="N6" s="297"/>
      <c r="O6" s="297"/>
      <c r="P6" s="297"/>
      <c r="Q6" s="297"/>
      <c r="R6" s="297"/>
      <c r="S6" s="297"/>
      <c r="T6" s="297"/>
      <c r="U6" s="297"/>
      <c r="V6" s="297"/>
      <c r="W6" s="297"/>
      <c r="X6" s="297"/>
      <c r="Y6" s="297"/>
      <c r="Z6" s="297"/>
      <c r="AA6" s="297"/>
      <c r="AB6" s="297"/>
      <c r="AC6" s="297"/>
      <c r="AD6" s="297"/>
      <c r="AE6" s="297"/>
      <c r="AF6" s="297"/>
      <c r="AG6" s="297"/>
      <c r="AH6" s="297"/>
      <c r="AI6" s="297"/>
      <c r="AJ6" s="297"/>
      <c r="AK6" s="297"/>
      <c r="AL6" s="297"/>
      <c r="AM6" s="297"/>
      <c r="AN6" s="297"/>
      <c r="AO6" s="297"/>
      <c r="AP6" s="297"/>
      <c r="AQ6" s="297"/>
      <c r="AR6" s="297"/>
      <c r="AS6" s="297"/>
      <c r="AT6" s="297"/>
      <c r="AU6" s="297"/>
      <c r="AV6" s="297"/>
      <c r="AW6" s="297"/>
      <c r="AX6" s="297"/>
      <c r="AY6" s="297"/>
      <c r="AZ6" s="297"/>
      <c r="BA6" s="297"/>
      <c r="BB6" s="297"/>
      <c r="BC6" s="297"/>
      <c r="BD6" s="297"/>
      <c r="BE6" s="297"/>
      <c r="BF6" s="297"/>
      <c r="BG6" s="297"/>
      <c r="BH6" s="297"/>
      <c r="BI6" s="321"/>
      <c r="BJ6" s="298"/>
    </row>
    <row r="7" spans="2:62" ht="15" thickBot="1">
      <c r="B7" s="299"/>
      <c r="C7" s="297"/>
      <c r="D7" s="297"/>
      <c r="E7" s="297"/>
      <c r="F7" s="297"/>
      <c r="G7" s="297"/>
      <c r="H7" s="297"/>
      <c r="I7" s="297">
        <v>2</v>
      </c>
      <c r="J7" s="305">
        <v>3</v>
      </c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7"/>
      <c r="AJ7" s="297"/>
      <c r="AK7" s="297"/>
      <c r="AL7" s="297"/>
      <c r="AM7" s="297"/>
      <c r="AN7" s="297"/>
      <c r="AO7" s="297"/>
      <c r="AP7" s="297"/>
      <c r="AQ7" s="297"/>
      <c r="AR7" s="297"/>
      <c r="AS7" s="297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7"/>
      <c r="BE7" s="297"/>
      <c r="BF7" s="297"/>
      <c r="BG7" s="297"/>
      <c r="BH7" s="297"/>
      <c r="BI7" s="321"/>
      <c r="BJ7" s="298"/>
    </row>
    <row r="8" spans="2:62" ht="15" thickBot="1">
      <c r="B8" s="299"/>
      <c r="C8" s="297"/>
      <c r="D8" s="297"/>
      <c r="E8" s="297"/>
      <c r="F8" s="297"/>
      <c r="G8" s="297"/>
      <c r="H8" s="297"/>
      <c r="I8" s="297">
        <v>3</v>
      </c>
      <c r="J8" s="305">
        <v>2</v>
      </c>
      <c r="K8" s="297"/>
      <c r="L8" s="297"/>
      <c r="M8" s="297"/>
      <c r="N8" s="297"/>
      <c r="O8" s="297"/>
      <c r="P8" s="297"/>
      <c r="Q8" s="297"/>
      <c r="R8" s="297"/>
      <c r="S8" s="297"/>
      <c r="T8" s="297"/>
      <c r="U8" s="297"/>
      <c r="V8" s="297"/>
      <c r="W8" s="297"/>
      <c r="X8" s="297"/>
      <c r="Y8" s="297"/>
      <c r="Z8" s="297"/>
      <c r="AA8" s="297"/>
      <c r="AB8" s="297"/>
      <c r="AC8" s="297"/>
      <c r="AD8" s="297"/>
      <c r="AE8" s="297"/>
      <c r="AF8" s="297"/>
      <c r="AG8" s="297"/>
      <c r="AH8" s="297"/>
      <c r="AI8" s="297"/>
      <c r="AJ8" s="297"/>
      <c r="AK8" s="297"/>
      <c r="AL8" s="297"/>
      <c r="AM8" s="297"/>
      <c r="AN8" s="297"/>
      <c r="AO8" s="297"/>
      <c r="AP8" s="297"/>
      <c r="AQ8" s="297"/>
      <c r="AR8" s="297"/>
      <c r="AS8" s="297"/>
      <c r="AT8" s="297"/>
      <c r="AU8" s="297"/>
      <c r="AV8" s="297"/>
      <c r="AW8" s="297"/>
      <c r="AX8" s="297"/>
      <c r="AY8" s="297"/>
      <c r="AZ8" s="297"/>
      <c r="BA8" s="297"/>
      <c r="BB8" s="297"/>
      <c r="BC8" s="297"/>
      <c r="BD8" s="297"/>
      <c r="BE8" s="297"/>
      <c r="BF8" s="297"/>
      <c r="BG8" s="297"/>
      <c r="BH8" s="297"/>
      <c r="BI8" s="321"/>
      <c r="BJ8" s="298"/>
    </row>
    <row r="9" spans="2:62" ht="15" thickBot="1">
      <c r="B9" s="299"/>
      <c r="C9" s="297"/>
      <c r="D9" s="297"/>
      <c r="E9" s="297"/>
      <c r="F9" s="297"/>
      <c r="G9" s="297"/>
      <c r="H9" s="297"/>
      <c r="I9" s="297">
        <v>4</v>
      </c>
      <c r="J9" s="304">
        <v>1</v>
      </c>
      <c r="K9" s="297"/>
      <c r="L9" s="297"/>
      <c r="M9" s="297"/>
      <c r="N9" s="297"/>
      <c r="O9" s="297"/>
      <c r="P9" s="297"/>
      <c r="Q9" s="297"/>
      <c r="R9" s="297"/>
      <c r="S9" s="297"/>
      <c r="T9" s="297"/>
      <c r="U9" s="297"/>
      <c r="V9" s="297"/>
      <c r="W9" s="297"/>
      <c r="X9" s="297"/>
      <c r="Y9" s="297"/>
      <c r="Z9" s="297"/>
      <c r="AA9" s="297"/>
      <c r="AB9" s="297"/>
      <c r="AC9" s="297"/>
      <c r="AD9" s="297"/>
      <c r="AE9" s="297"/>
      <c r="AF9" s="297"/>
      <c r="AG9" s="297"/>
      <c r="AH9" s="297"/>
      <c r="AI9" s="297"/>
      <c r="AJ9" s="297"/>
      <c r="AK9" s="297"/>
      <c r="AL9" s="297"/>
      <c r="AM9" s="297"/>
      <c r="AN9" s="297"/>
      <c r="AO9" s="297"/>
      <c r="AP9" s="297"/>
      <c r="AQ9" s="297"/>
      <c r="AR9" s="297"/>
      <c r="AS9" s="297"/>
      <c r="AT9" s="297"/>
      <c r="AU9" s="297"/>
      <c r="AV9" s="297"/>
      <c r="AW9" s="297"/>
      <c r="AX9" s="297"/>
      <c r="AY9" s="297"/>
      <c r="AZ9" s="297"/>
      <c r="BA9" s="297"/>
      <c r="BB9" s="297"/>
      <c r="BC9" s="297"/>
      <c r="BD9" s="297"/>
      <c r="BE9" s="297"/>
      <c r="BF9" s="297"/>
      <c r="BG9" s="297"/>
      <c r="BH9" s="297"/>
      <c r="BI9" s="321"/>
      <c r="BJ9" s="298"/>
    </row>
    <row r="10" spans="2:62" ht="15" thickBot="1">
      <c r="B10" s="299"/>
      <c r="C10" s="297"/>
      <c r="D10" s="297"/>
      <c r="E10" s="297"/>
      <c r="F10" s="297"/>
      <c r="G10" s="297"/>
      <c r="H10" s="297"/>
      <c r="I10" s="297">
        <v>5</v>
      </c>
      <c r="J10" s="305">
        <v>0</v>
      </c>
      <c r="K10" s="297"/>
      <c r="L10" s="297"/>
      <c r="M10" s="297"/>
      <c r="N10" s="297"/>
      <c r="O10" s="307"/>
      <c r="P10" s="308" t="s">
        <v>368</v>
      </c>
      <c r="Q10" s="308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321"/>
      <c r="BJ10" s="298"/>
    </row>
    <row r="11" spans="2:62">
      <c r="B11" s="299"/>
      <c r="C11" s="308"/>
      <c r="D11" s="308"/>
      <c r="E11" s="308"/>
      <c r="F11" s="308"/>
      <c r="G11" s="308"/>
      <c r="H11" s="308"/>
      <c r="I11" s="297" t="s">
        <v>367</v>
      </c>
      <c r="J11" s="308"/>
      <c r="K11" s="308"/>
      <c r="L11" s="308"/>
      <c r="M11" s="308"/>
      <c r="N11" s="308"/>
      <c r="O11" s="308"/>
      <c r="P11" s="308"/>
      <c r="Q11" s="308"/>
      <c r="R11" s="308"/>
      <c r="S11" s="308"/>
      <c r="T11" s="308"/>
      <c r="U11" s="308"/>
      <c r="V11" s="308"/>
      <c r="W11" s="308"/>
      <c r="X11" s="308"/>
      <c r="Y11" s="308"/>
      <c r="Z11" s="308"/>
      <c r="AA11" s="308"/>
      <c r="AB11" s="308"/>
      <c r="AC11" s="308"/>
      <c r="AD11" s="308"/>
      <c r="AE11" s="308"/>
      <c r="AF11" s="308"/>
      <c r="AG11" s="308"/>
      <c r="AH11" s="308"/>
      <c r="AI11" s="308"/>
      <c r="AJ11" s="308"/>
      <c r="AK11" s="308"/>
      <c r="AL11" s="308"/>
      <c r="AM11" s="308"/>
      <c r="AN11" s="308"/>
      <c r="AO11" s="308"/>
      <c r="AP11" s="308"/>
      <c r="AQ11" s="308"/>
      <c r="AR11" s="308"/>
      <c r="AS11" s="308"/>
      <c r="AT11" s="308"/>
      <c r="AU11" s="308"/>
      <c r="AV11" s="308"/>
      <c r="AW11" s="308"/>
      <c r="AX11" s="308"/>
      <c r="AY11" s="308"/>
      <c r="AZ11" s="308"/>
      <c r="BA11" s="308"/>
      <c r="BB11" s="308"/>
      <c r="BC11" s="308"/>
      <c r="BE11" s="308"/>
      <c r="BF11" s="308"/>
      <c r="BG11" s="308"/>
      <c r="BH11" s="308"/>
      <c r="BI11" s="322"/>
      <c r="BJ11" s="298"/>
    </row>
    <row r="12" spans="2:62">
      <c r="B12" s="299"/>
      <c r="C12" s="308"/>
      <c r="D12" s="308"/>
      <c r="E12" s="308"/>
      <c r="F12" s="308"/>
      <c r="G12" s="308"/>
      <c r="H12" s="308"/>
      <c r="I12" s="308"/>
      <c r="J12" s="308"/>
      <c r="K12" s="308"/>
      <c r="L12" s="308"/>
      <c r="M12" s="308"/>
      <c r="N12" s="308"/>
      <c r="O12" s="308"/>
      <c r="P12" s="308"/>
      <c r="Q12" s="308"/>
      <c r="S12" s="309"/>
      <c r="U12" s="308"/>
      <c r="V12" s="308"/>
      <c r="W12" s="308"/>
      <c r="X12" s="308"/>
      <c r="Y12" s="308"/>
      <c r="Z12" s="308"/>
      <c r="AA12" s="308"/>
      <c r="AB12" s="308"/>
      <c r="AC12" s="308"/>
      <c r="AD12" s="308"/>
      <c r="AE12" s="308"/>
      <c r="AF12" s="308"/>
      <c r="AG12" s="308"/>
      <c r="AH12" s="308"/>
      <c r="AI12" s="308"/>
      <c r="AJ12" s="308"/>
      <c r="AK12" s="308"/>
      <c r="AL12" s="308"/>
      <c r="AM12" s="308"/>
      <c r="AN12" s="308"/>
      <c r="AO12" s="308"/>
      <c r="AP12" s="308"/>
      <c r="AQ12" s="308"/>
      <c r="AR12" s="308"/>
      <c r="AS12" s="308"/>
      <c r="AT12" s="308"/>
      <c r="AU12" s="308"/>
      <c r="AV12" s="308"/>
      <c r="AW12" s="308"/>
      <c r="AX12" s="308"/>
      <c r="AY12" s="308"/>
      <c r="AZ12" s="308"/>
      <c r="BA12" s="308"/>
      <c r="BB12" s="308"/>
      <c r="BC12" s="308"/>
      <c r="BD12" s="308" t="s">
        <v>384</v>
      </c>
      <c r="BE12" s="308"/>
      <c r="BF12" s="308"/>
      <c r="BG12" s="308"/>
      <c r="BH12" s="308"/>
      <c r="BI12" s="322"/>
      <c r="BJ12" s="298"/>
    </row>
    <row r="13" spans="2:62" ht="15" thickBot="1">
      <c r="B13" s="310"/>
      <c r="C13" s="311"/>
      <c r="D13" s="311"/>
      <c r="E13" s="311"/>
      <c r="F13" s="311"/>
      <c r="G13" s="311"/>
      <c r="H13" s="311"/>
      <c r="I13" s="311"/>
      <c r="J13" s="311"/>
      <c r="K13" s="311"/>
      <c r="L13" s="311"/>
      <c r="M13" s="311"/>
      <c r="N13" s="311"/>
      <c r="O13" s="311"/>
      <c r="P13" s="311"/>
      <c r="Q13" s="311"/>
      <c r="R13" s="311"/>
      <c r="S13" s="311"/>
      <c r="T13" s="311"/>
      <c r="U13" s="311"/>
      <c r="V13" s="311"/>
      <c r="W13" s="311"/>
      <c r="X13" s="311"/>
      <c r="Y13" s="311"/>
      <c r="Z13" s="311"/>
      <c r="AA13" s="311"/>
      <c r="AB13" s="311"/>
      <c r="AC13" s="311"/>
      <c r="AD13" s="311"/>
      <c r="AE13" s="311"/>
      <c r="AF13" s="311"/>
      <c r="AG13" s="311"/>
      <c r="AH13" s="311"/>
      <c r="AI13" s="311"/>
      <c r="AJ13" s="311"/>
      <c r="AK13" s="311"/>
      <c r="AL13" s="311"/>
      <c r="AM13" s="311"/>
      <c r="AN13" s="311"/>
      <c r="AO13" s="311"/>
      <c r="AP13" s="311"/>
      <c r="AQ13" s="311"/>
      <c r="AR13" s="311"/>
      <c r="AS13" s="311"/>
      <c r="AT13" s="311"/>
      <c r="AU13" s="311"/>
      <c r="AV13" s="311"/>
      <c r="AW13" s="311"/>
      <c r="AX13" s="311"/>
      <c r="AY13" s="311"/>
      <c r="AZ13" s="311"/>
      <c r="BA13" s="311"/>
      <c r="BB13" s="311"/>
      <c r="BC13" s="311"/>
      <c r="BD13" s="311"/>
      <c r="BE13" s="311"/>
      <c r="BF13" s="311"/>
      <c r="BG13" s="311"/>
      <c r="BH13" s="311"/>
      <c r="BI13" s="323"/>
      <c r="BJ13" s="312"/>
    </row>
    <row r="14" spans="2:62">
      <c r="BI14" s="324"/>
    </row>
    <row r="15" spans="2:62" ht="17">
      <c r="B15" s="313" t="s">
        <v>378</v>
      </c>
      <c r="H15" s="18" t="s">
        <v>375</v>
      </c>
      <c r="BI15" s="324"/>
    </row>
    <row r="16" spans="2:62" ht="15" thickBot="1">
      <c r="B16" s="18" t="s">
        <v>379</v>
      </c>
      <c r="BI16" s="324"/>
    </row>
    <row r="17" spans="2:62">
      <c r="B17" s="293"/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  <c r="AG17" s="294"/>
      <c r="AH17" s="294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325"/>
      <c r="BJ17" s="295"/>
    </row>
    <row r="18" spans="2:62" ht="15" thickBot="1">
      <c r="B18" s="296"/>
      <c r="C18" s="297"/>
      <c r="D18" s="297"/>
      <c r="E18" s="297"/>
      <c r="F18" s="297"/>
      <c r="G18" s="297"/>
      <c r="H18" s="297"/>
      <c r="I18" s="297"/>
      <c r="J18" s="297"/>
      <c r="K18" s="297"/>
      <c r="L18" s="297"/>
      <c r="M18" s="297"/>
      <c r="N18" s="297"/>
      <c r="O18" s="297"/>
      <c r="P18" s="297"/>
      <c r="Q18" s="297"/>
      <c r="R18" s="297"/>
      <c r="S18" s="297"/>
      <c r="T18" s="297"/>
      <c r="U18" s="297"/>
      <c r="V18" s="297"/>
      <c r="W18" s="297"/>
      <c r="X18" s="297"/>
      <c r="Y18" s="297"/>
      <c r="Z18" s="297"/>
      <c r="AA18" s="297"/>
      <c r="AB18" s="297"/>
      <c r="AC18" s="297"/>
      <c r="AD18" s="297"/>
      <c r="AE18" s="297"/>
      <c r="AF18" s="297"/>
      <c r="AG18" s="297"/>
      <c r="AH18" s="297"/>
      <c r="AI18" s="297"/>
      <c r="AJ18" s="297"/>
      <c r="AK18" s="297"/>
      <c r="AL18" s="297"/>
      <c r="AM18" s="297"/>
      <c r="AN18" s="297"/>
      <c r="AO18" s="297"/>
      <c r="AP18" s="297"/>
      <c r="AQ18" s="297"/>
      <c r="AR18" s="297"/>
      <c r="AS18" s="297"/>
      <c r="AT18" s="297"/>
      <c r="AU18" s="297"/>
      <c r="AV18" s="297"/>
      <c r="AW18" s="297"/>
      <c r="AX18" s="297"/>
      <c r="AY18" s="297"/>
      <c r="AZ18" s="297"/>
      <c r="BA18" s="297"/>
      <c r="BB18" s="297"/>
      <c r="BC18" s="297"/>
      <c r="BD18" s="297"/>
      <c r="BE18" s="297"/>
      <c r="BF18" s="297"/>
      <c r="BG18" s="297"/>
      <c r="BH18" s="297"/>
      <c r="BI18" s="321"/>
      <c r="BJ18" s="298"/>
    </row>
    <row r="19" spans="2:62" ht="15" thickBot="1">
      <c r="B19" s="299"/>
      <c r="C19" s="314">
        <v>12</v>
      </c>
      <c r="D19" s="334">
        <v>11</v>
      </c>
      <c r="E19" s="334">
        <v>10</v>
      </c>
      <c r="F19" s="315">
        <v>9</v>
      </c>
      <c r="G19" s="315">
        <v>8</v>
      </c>
      <c r="H19" s="315">
        <v>7</v>
      </c>
      <c r="I19" s="316">
        <v>6</v>
      </c>
      <c r="J19" s="314">
        <v>5</v>
      </c>
      <c r="K19" s="315">
        <v>13</v>
      </c>
      <c r="L19" s="314">
        <v>14</v>
      </c>
      <c r="M19" s="315">
        <v>15</v>
      </c>
      <c r="N19" s="315">
        <v>16</v>
      </c>
      <c r="O19" s="315">
        <v>17</v>
      </c>
      <c r="P19" s="315">
        <v>18</v>
      </c>
      <c r="Q19" s="315">
        <v>19</v>
      </c>
      <c r="R19" s="314">
        <v>20</v>
      </c>
      <c r="S19" s="315">
        <v>21</v>
      </c>
      <c r="T19" s="314">
        <v>22</v>
      </c>
      <c r="U19" s="315">
        <v>23</v>
      </c>
      <c r="V19" s="314">
        <v>24</v>
      </c>
      <c r="W19" s="315">
        <v>25</v>
      </c>
      <c r="X19" s="314">
        <v>26</v>
      </c>
      <c r="Y19" s="315">
        <v>27</v>
      </c>
      <c r="Z19" s="314">
        <v>28</v>
      </c>
      <c r="AA19" s="315">
        <v>29</v>
      </c>
      <c r="AB19" s="314">
        <v>30</v>
      </c>
      <c r="AC19" s="315">
        <v>31</v>
      </c>
      <c r="AD19" s="337">
        <v>32</v>
      </c>
      <c r="AE19" s="334">
        <v>33</v>
      </c>
      <c r="AF19" s="337">
        <v>34</v>
      </c>
      <c r="AG19" s="337">
        <v>9998</v>
      </c>
      <c r="AH19" s="309"/>
      <c r="AI19" s="309"/>
      <c r="AJ19" s="309"/>
      <c r="AK19" s="309"/>
      <c r="AM19" s="309"/>
      <c r="AN19" s="309"/>
      <c r="AO19" s="309"/>
      <c r="AP19" s="309"/>
      <c r="AQ19" s="309"/>
      <c r="AR19" s="309"/>
      <c r="AS19" s="309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09"/>
      <c r="BE19" s="309"/>
      <c r="BF19" s="309"/>
      <c r="BG19" s="309"/>
      <c r="BH19" s="309"/>
      <c r="BI19" s="322"/>
      <c r="BJ19" s="298"/>
    </row>
    <row r="20" spans="2:62" ht="15" thickBot="1">
      <c r="B20" s="299"/>
      <c r="C20" s="297"/>
      <c r="D20" s="297"/>
      <c r="E20" s="297"/>
      <c r="F20" s="297"/>
      <c r="G20" s="297"/>
      <c r="H20" s="297"/>
      <c r="I20" s="297"/>
      <c r="J20" s="314">
        <v>4</v>
      </c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297"/>
      <c r="V20" s="297"/>
      <c r="W20" s="297"/>
      <c r="X20" s="297"/>
      <c r="Y20" s="297"/>
      <c r="Z20" s="297"/>
      <c r="AA20" s="297"/>
      <c r="AB20" s="297"/>
      <c r="AC20" s="297"/>
      <c r="AD20" s="297"/>
      <c r="AE20" s="297"/>
      <c r="AF20" s="297"/>
      <c r="AG20" s="297"/>
      <c r="AH20" s="297"/>
      <c r="AI20" s="297"/>
      <c r="AJ20" s="297"/>
      <c r="AK20" s="297"/>
      <c r="AL20" s="297"/>
      <c r="AM20" s="297"/>
      <c r="AN20" s="297"/>
      <c r="AO20" s="297"/>
      <c r="AP20" s="297"/>
      <c r="AQ20" s="297"/>
      <c r="AR20" s="297"/>
      <c r="AS20" s="297"/>
      <c r="AT20" s="297"/>
      <c r="AU20" s="297"/>
      <c r="AV20" s="297"/>
      <c r="AW20" s="297"/>
      <c r="AX20" s="297"/>
      <c r="AY20" s="297"/>
      <c r="AZ20" s="297"/>
      <c r="BA20" s="297"/>
      <c r="BB20" s="297"/>
      <c r="BC20" s="297"/>
      <c r="BD20" s="297"/>
      <c r="BE20" s="297"/>
      <c r="BF20" s="297"/>
      <c r="BG20" s="297"/>
      <c r="BH20" s="297"/>
      <c r="BI20" s="324"/>
      <c r="BJ20" s="298"/>
    </row>
    <row r="21" spans="2:62" ht="15" thickBot="1">
      <c r="B21" s="299"/>
      <c r="C21" s="297"/>
      <c r="D21" s="297"/>
      <c r="E21" s="297"/>
      <c r="F21" s="297"/>
      <c r="G21" s="297"/>
      <c r="H21" s="297"/>
      <c r="I21" s="297"/>
      <c r="J21" s="314">
        <v>3</v>
      </c>
      <c r="K21" s="297"/>
      <c r="L21" s="297"/>
      <c r="M21" s="297"/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341">
        <v>35</v>
      </c>
      <c r="AH21" s="341">
        <v>36</v>
      </c>
      <c r="AI21" s="340">
        <v>37</v>
      </c>
      <c r="AJ21" s="341">
        <v>38</v>
      </c>
      <c r="AK21" s="314">
        <v>39</v>
      </c>
      <c r="AL21" s="314">
        <v>40</v>
      </c>
      <c r="AM21" s="315">
        <v>41</v>
      </c>
      <c r="AN21" s="314">
        <v>42</v>
      </c>
      <c r="AO21" s="315">
        <v>43</v>
      </c>
      <c r="AP21" s="314">
        <v>44</v>
      </c>
      <c r="AQ21" s="315">
        <v>45</v>
      </c>
      <c r="AR21" s="314">
        <v>46</v>
      </c>
      <c r="AS21" s="315">
        <v>47</v>
      </c>
      <c r="AT21" s="314">
        <v>48</v>
      </c>
      <c r="AU21" s="315">
        <v>49</v>
      </c>
      <c r="AV21" s="314">
        <v>50</v>
      </c>
      <c r="AW21" s="315">
        <v>51</v>
      </c>
      <c r="AX21" s="314">
        <v>52</v>
      </c>
      <c r="AY21" s="297"/>
      <c r="AZ21" s="297"/>
      <c r="BA21" s="297"/>
      <c r="BB21" s="297"/>
      <c r="BC21" s="297"/>
      <c r="BD21" s="297"/>
      <c r="BE21" s="297"/>
      <c r="BF21" s="297"/>
      <c r="BG21" s="297"/>
      <c r="BH21" s="297"/>
      <c r="BI21" s="321"/>
      <c r="BJ21" s="298"/>
    </row>
    <row r="22" spans="2:62" ht="15" thickBot="1">
      <c r="B22" s="299"/>
      <c r="C22" s="297"/>
      <c r="D22" s="297"/>
      <c r="E22" s="297"/>
      <c r="F22" s="297"/>
      <c r="G22" s="297"/>
      <c r="H22" s="297"/>
      <c r="I22" s="297"/>
      <c r="J22" s="314">
        <v>2</v>
      </c>
      <c r="K22" s="297"/>
      <c r="L22" s="297"/>
      <c r="M22" s="297"/>
      <c r="N22" s="297"/>
      <c r="O22" s="308"/>
      <c r="P22" s="308"/>
      <c r="Q22" s="308"/>
      <c r="R22" s="308"/>
      <c r="S22" s="308"/>
      <c r="T22" s="297"/>
      <c r="U22" s="297"/>
      <c r="V22" s="297"/>
      <c r="W22" s="297"/>
      <c r="X22" s="297"/>
      <c r="Y22" s="297"/>
      <c r="Z22" s="297"/>
      <c r="AA22" s="297"/>
      <c r="AB22" s="297"/>
      <c r="AC22" s="297"/>
      <c r="AD22" s="297"/>
      <c r="AE22" s="297"/>
      <c r="AF22" s="297"/>
      <c r="AG22" s="297"/>
      <c r="AH22" s="297"/>
      <c r="AI22" s="297"/>
      <c r="AJ22" s="297"/>
      <c r="AK22" s="297"/>
      <c r="AL22" s="309"/>
      <c r="AM22" s="309"/>
      <c r="AN22" s="309"/>
      <c r="AO22" s="309"/>
      <c r="AP22" s="309"/>
      <c r="AQ22" s="309"/>
      <c r="AR22" s="309"/>
      <c r="AS22" s="309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09"/>
      <c r="BE22" s="309"/>
      <c r="BF22" s="309"/>
      <c r="BG22" s="309"/>
      <c r="BH22" s="309"/>
      <c r="BI22" s="322"/>
      <c r="BJ22" s="298"/>
    </row>
    <row r="23" spans="2:62" ht="15" thickBot="1">
      <c r="B23" s="299"/>
      <c r="C23" s="297"/>
      <c r="D23" s="297"/>
      <c r="E23" s="297"/>
      <c r="F23" s="297"/>
      <c r="G23" s="297"/>
      <c r="H23" s="297"/>
      <c r="I23" s="297"/>
      <c r="J23" s="314">
        <v>1</v>
      </c>
      <c r="K23" s="297"/>
      <c r="L23" s="297"/>
      <c r="M23" s="297"/>
      <c r="N23" s="297"/>
      <c r="O23" s="308"/>
      <c r="P23" s="308"/>
      <c r="Q23" s="308"/>
      <c r="R23" s="308"/>
      <c r="S23" s="308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297"/>
      <c r="AH23" s="297"/>
      <c r="AI23" s="297"/>
      <c r="AJ23" s="297"/>
      <c r="AK23" s="297"/>
      <c r="AL23" s="297"/>
      <c r="AM23" s="297"/>
      <c r="AN23" s="297"/>
      <c r="AO23" s="297"/>
      <c r="AP23" s="297"/>
      <c r="AQ23" s="297"/>
      <c r="AR23" s="297"/>
      <c r="AS23" s="297"/>
      <c r="AT23" s="297"/>
      <c r="AU23" s="297"/>
      <c r="AV23" s="297"/>
      <c r="AW23" s="297"/>
      <c r="AX23" s="297"/>
      <c r="AY23" s="297"/>
      <c r="AZ23" s="297"/>
      <c r="BA23" s="297"/>
      <c r="BB23" s="297"/>
      <c r="BC23" s="297"/>
      <c r="BD23" s="297"/>
      <c r="BE23" s="297"/>
      <c r="BF23" s="297"/>
      <c r="BG23" s="297"/>
      <c r="BH23" s="297"/>
      <c r="BI23" s="321"/>
      <c r="BJ23" s="298"/>
    </row>
    <row r="24" spans="2:62" ht="15" thickBot="1">
      <c r="B24" s="299"/>
      <c r="C24" s="297"/>
      <c r="D24" s="297"/>
      <c r="E24" s="297"/>
      <c r="F24" s="297"/>
      <c r="G24" s="297"/>
      <c r="H24" s="297"/>
      <c r="I24" s="297"/>
      <c r="J24" s="314">
        <v>0</v>
      </c>
      <c r="K24" s="297"/>
      <c r="L24" s="297"/>
      <c r="M24" s="297"/>
      <c r="N24" s="297"/>
      <c r="O24" s="337"/>
      <c r="P24" s="308" t="s">
        <v>376</v>
      </c>
      <c r="Q24" s="308"/>
      <c r="R24" s="308"/>
      <c r="S24" s="308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  <c r="AM24" s="297"/>
      <c r="AN24" s="297"/>
      <c r="AO24" s="297"/>
      <c r="AP24" s="297"/>
      <c r="AQ24" s="297"/>
      <c r="AR24" s="297"/>
      <c r="AS24" s="297"/>
      <c r="AT24" s="297"/>
      <c r="AU24" s="297"/>
      <c r="AV24" s="297"/>
      <c r="AW24" s="297"/>
      <c r="AX24" s="297"/>
      <c r="AY24" s="297"/>
      <c r="AZ24" s="297"/>
      <c r="BA24" s="297"/>
      <c r="BB24" s="297"/>
      <c r="BC24" s="297"/>
      <c r="BD24" s="297"/>
      <c r="BE24" s="297"/>
      <c r="BF24" s="297"/>
      <c r="BG24" s="297"/>
      <c r="BH24" s="297"/>
      <c r="BI24" s="321"/>
      <c r="BJ24" s="298"/>
    </row>
    <row r="25" spans="2:62">
      <c r="B25" s="299"/>
      <c r="C25" s="308"/>
      <c r="D25" s="308"/>
      <c r="E25" s="308"/>
      <c r="F25" s="308"/>
      <c r="G25" s="308"/>
      <c r="H25" s="308"/>
      <c r="I25" s="297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8"/>
      <c r="W25" s="308"/>
      <c r="X25" s="308"/>
      <c r="Y25" s="308"/>
      <c r="Z25" s="308"/>
      <c r="AA25" s="308"/>
      <c r="AB25" s="308"/>
      <c r="AC25" s="308"/>
      <c r="AE25" s="308"/>
      <c r="AG25" s="308"/>
      <c r="AH25" s="308"/>
      <c r="AI25" s="308"/>
      <c r="AJ25" s="308"/>
      <c r="AK25" s="308"/>
      <c r="AL25" s="308"/>
      <c r="AM25" s="308"/>
      <c r="AN25" s="308"/>
      <c r="AO25" s="308"/>
      <c r="AP25" s="308"/>
      <c r="AQ25" s="308"/>
      <c r="AR25" s="308"/>
      <c r="AS25" s="308"/>
      <c r="AT25" s="308"/>
      <c r="AU25" s="308"/>
      <c r="AV25" s="308"/>
      <c r="AW25" s="308"/>
      <c r="AX25" s="308"/>
      <c r="AY25" s="308"/>
      <c r="AZ25" s="308"/>
      <c r="BA25" s="308"/>
      <c r="BB25" s="308"/>
      <c r="BC25" s="308"/>
      <c r="BD25" s="308"/>
      <c r="BE25" s="308"/>
      <c r="BF25" s="308"/>
      <c r="BG25" s="308"/>
      <c r="BH25" s="308"/>
      <c r="BI25" s="322"/>
      <c r="BJ25" s="298"/>
    </row>
    <row r="26" spans="2:62">
      <c r="B26" s="299"/>
      <c r="C26" s="308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U26" s="308"/>
      <c r="V26" s="308"/>
      <c r="W26" s="308"/>
      <c r="X26" s="308"/>
      <c r="Y26" s="308"/>
      <c r="Z26" s="308"/>
      <c r="AA26" s="308"/>
      <c r="AB26" s="308"/>
      <c r="AC26" s="308"/>
      <c r="AD26" s="308"/>
      <c r="AE26" s="308"/>
      <c r="AF26" s="308"/>
      <c r="AG26" s="308"/>
      <c r="AH26" s="308"/>
      <c r="AI26" s="308"/>
      <c r="AJ26" s="308"/>
      <c r="AK26" s="308"/>
      <c r="AL26" s="308"/>
      <c r="AM26" s="308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 t="s">
        <v>385</v>
      </c>
      <c r="BE26" s="308"/>
      <c r="BF26" s="308"/>
      <c r="BG26" s="308"/>
      <c r="BH26" s="308"/>
      <c r="BI26" s="322"/>
      <c r="BJ26" s="298"/>
    </row>
    <row r="27" spans="2:62" ht="15" thickBot="1">
      <c r="B27" s="310"/>
      <c r="C27" s="311"/>
      <c r="D27" s="311"/>
      <c r="E27" s="311"/>
      <c r="F27" s="311"/>
      <c r="G27" s="311"/>
      <c r="H27" s="311"/>
      <c r="I27" s="311"/>
      <c r="J27" s="311"/>
      <c r="K27" s="311"/>
      <c r="L27" s="311"/>
      <c r="M27" s="311"/>
      <c r="N27" s="311"/>
      <c r="O27" s="311"/>
      <c r="P27" s="311"/>
      <c r="Q27" s="311"/>
      <c r="R27" s="311"/>
      <c r="S27" s="311"/>
      <c r="T27" s="311"/>
      <c r="U27" s="311"/>
      <c r="V27" s="311"/>
      <c r="W27" s="311"/>
      <c r="X27" s="311"/>
      <c r="Y27" s="311"/>
      <c r="Z27" s="311"/>
      <c r="AA27" s="311"/>
      <c r="AB27" s="311"/>
      <c r="AC27" s="311"/>
      <c r="AD27" s="311"/>
      <c r="AE27" s="311"/>
      <c r="AF27" s="311"/>
      <c r="AG27" s="311"/>
      <c r="AH27" s="311"/>
      <c r="AI27" s="311"/>
      <c r="AJ27" s="311"/>
      <c r="AK27" s="311"/>
      <c r="AL27" s="311"/>
      <c r="AM27" s="311"/>
      <c r="AN27" s="311"/>
      <c r="AO27" s="311"/>
      <c r="AP27" s="311"/>
      <c r="AQ27" s="311"/>
      <c r="AR27" s="311"/>
      <c r="AS27" s="311"/>
      <c r="AT27" s="311"/>
      <c r="AU27" s="311"/>
      <c r="AV27" s="311"/>
      <c r="AW27" s="311"/>
      <c r="AX27" s="311"/>
      <c r="AY27" s="311"/>
      <c r="AZ27" s="311"/>
      <c r="BA27" s="311"/>
      <c r="BB27" s="311"/>
      <c r="BC27" s="311"/>
      <c r="BD27" s="311"/>
      <c r="BE27" s="311"/>
      <c r="BF27" s="311"/>
      <c r="BG27" s="311"/>
      <c r="BH27" s="311"/>
      <c r="BI27" s="323"/>
      <c r="BJ27" s="312"/>
    </row>
    <row r="28" spans="2:62">
      <c r="B28" s="339"/>
      <c r="C28" s="339"/>
      <c r="D28" s="339"/>
      <c r="E28" s="339"/>
      <c r="F28" s="339"/>
      <c r="G28" s="339"/>
      <c r="H28" s="339"/>
      <c r="I28" s="339"/>
      <c r="J28" s="339"/>
      <c r="K28" s="339"/>
      <c r="L28" s="339"/>
      <c r="M28" s="339"/>
      <c r="N28" s="339"/>
      <c r="O28" s="339"/>
      <c r="P28" s="339"/>
      <c r="Q28" s="339"/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39"/>
      <c r="BF28" s="339"/>
      <c r="BG28" s="339"/>
      <c r="BH28" s="339"/>
      <c r="BI28" s="342"/>
      <c r="BJ28" s="339"/>
    </row>
    <row r="29" spans="2:62" ht="17">
      <c r="B29" s="313"/>
      <c r="BI29" s="324"/>
    </row>
    <row r="30" spans="2:62">
      <c r="BI30" s="324"/>
    </row>
    <row r="31" spans="2:62" ht="15" thickBot="1">
      <c r="B31" s="18" t="s">
        <v>380</v>
      </c>
      <c r="BI31" s="324"/>
    </row>
    <row r="32" spans="2:62">
      <c r="B32" s="293"/>
      <c r="C32" s="294"/>
      <c r="D32" s="294"/>
      <c r="E32" s="294"/>
      <c r="F32" s="294"/>
      <c r="G32" s="294"/>
      <c r="H32" s="294"/>
      <c r="I32" s="294"/>
      <c r="J32" s="294"/>
      <c r="K32" s="294"/>
      <c r="L32" s="294"/>
      <c r="M32" s="294"/>
      <c r="N32" s="294"/>
      <c r="O32" s="294"/>
      <c r="P32" s="294"/>
      <c r="Q32" s="294"/>
      <c r="R32" s="294"/>
      <c r="S32" s="294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/>
      <c r="AW32" s="294"/>
      <c r="AX32" s="294"/>
      <c r="AY32" s="294"/>
      <c r="AZ32" s="294"/>
      <c r="BA32" s="294"/>
      <c r="BB32" s="294"/>
      <c r="BC32" s="294"/>
      <c r="BD32" s="294"/>
      <c r="BE32" s="294"/>
      <c r="BF32" s="294"/>
      <c r="BG32" s="294"/>
      <c r="BH32" s="294"/>
      <c r="BI32" s="325"/>
      <c r="BJ32" s="295"/>
    </row>
    <row r="33" spans="2:62" ht="15" thickBot="1">
      <c r="B33" s="296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297"/>
      <c r="AK33" s="297"/>
      <c r="AL33" s="297"/>
      <c r="AM33" s="297"/>
      <c r="AN33" s="297"/>
      <c r="AO33" s="297"/>
      <c r="AP33" s="297"/>
      <c r="AQ33" s="297"/>
      <c r="AR33" s="297"/>
      <c r="AS33" s="297"/>
      <c r="AT33" s="297"/>
      <c r="AU33" s="297"/>
      <c r="AV33" s="297"/>
      <c r="AW33" s="297"/>
      <c r="AX33" s="297"/>
      <c r="AY33" s="297"/>
      <c r="AZ33" s="297"/>
      <c r="BA33" s="297"/>
      <c r="BB33" s="297"/>
      <c r="BC33" s="297"/>
      <c r="BD33" s="297"/>
      <c r="BE33" s="297"/>
      <c r="BF33" s="297"/>
      <c r="BG33" s="297"/>
      <c r="BH33" s="297"/>
      <c r="BI33" s="321"/>
      <c r="BJ33" s="298"/>
    </row>
    <row r="34" spans="2:62" ht="15" thickBot="1">
      <c r="B34" s="299"/>
      <c r="C34" s="300">
        <v>12</v>
      </c>
      <c r="D34" s="315">
        <v>11</v>
      </c>
      <c r="E34" s="315">
        <v>10</v>
      </c>
      <c r="F34" s="315">
        <v>9</v>
      </c>
      <c r="G34" s="315">
        <v>8</v>
      </c>
      <c r="H34" s="315">
        <v>7</v>
      </c>
      <c r="I34" s="316">
        <v>6</v>
      </c>
      <c r="J34" s="314">
        <v>5</v>
      </c>
      <c r="K34" s="315">
        <v>13</v>
      </c>
      <c r="L34" s="314">
        <v>14</v>
      </c>
      <c r="M34" s="315">
        <v>15</v>
      </c>
      <c r="N34" s="315">
        <v>16</v>
      </c>
      <c r="O34" s="315">
        <v>17</v>
      </c>
      <c r="P34" s="315">
        <v>18</v>
      </c>
      <c r="Q34" s="315">
        <v>19</v>
      </c>
      <c r="R34" s="314">
        <v>20</v>
      </c>
      <c r="S34" s="315">
        <v>21</v>
      </c>
      <c r="T34" s="314">
        <v>22</v>
      </c>
      <c r="U34" s="315">
        <v>23</v>
      </c>
      <c r="V34" s="314">
        <v>24</v>
      </c>
      <c r="W34" s="315">
        <v>25</v>
      </c>
      <c r="X34" s="314">
        <v>26</v>
      </c>
      <c r="Y34" s="315">
        <v>27</v>
      </c>
      <c r="Z34" s="314">
        <v>28</v>
      </c>
      <c r="AA34" s="315">
        <v>29</v>
      </c>
      <c r="AB34" s="314">
        <v>30</v>
      </c>
      <c r="AC34" s="315">
        <v>31</v>
      </c>
      <c r="AD34" s="341">
        <v>32</v>
      </c>
      <c r="AE34" s="340">
        <v>33</v>
      </c>
      <c r="AF34" s="341">
        <v>34</v>
      </c>
      <c r="AG34" s="336">
        <v>35</v>
      </c>
      <c r="AH34" s="335">
        <v>36</v>
      </c>
      <c r="AI34" s="336">
        <v>37</v>
      </c>
      <c r="AJ34" s="335">
        <v>38</v>
      </c>
      <c r="AK34" s="335">
        <v>9998</v>
      </c>
      <c r="AM34" s="309"/>
      <c r="AN34" s="309"/>
      <c r="AO34" s="309"/>
      <c r="AP34" s="309"/>
      <c r="AQ34" s="309"/>
      <c r="AR34" s="309"/>
      <c r="AS34" s="309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09"/>
      <c r="BE34" s="309"/>
      <c r="BF34" s="309"/>
      <c r="BG34" s="309"/>
      <c r="BH34" s="309"/>
      <c r="BI34" s="322"/>
      <c r="BJ34" s="298"/>
    </row>
    <row r="35" spans="2:62" ht="15" thickBot="1">
      <c r="B35" s="299"/>
      <c r="C35" s="297"/>
      <c r="D35" s="297"/>
      <c r="E35" s="297"/>
      <c r="F35" s="297"/>
      <c r="G35" s="297"/>
      <c r="H35" s="297"/>
      <c r="I35" s="297"/>
      <c r="J35" s="314">
        <v>4</v>
      </c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7"/>
      <c r="AA35" s="297"/>
      <c r="AB35" s="297"/>
      <c r="AC35" s="297"/>
      <c r="AD35" s="297"/>
      <c r="AE35" s="297"/>
      <c r="AF35" s="297"/>
      <c r="AG35" s="297"/>
      <c r="AH35" s="297"/>
      <c r="AI35" s="297"/>
      <c r="AJ35" s="297"/>
      <c r="AK35" s="297"/>
      <c r="AL35" s="297"/>
      <c r="AM35" s="297"/>
      <c r="AN35" s="297"/>
      <c r="AO35" s="297"/>
      <c r="AP35" s="297"/>
      <c r="AQ35" s="297"/>
      <c r="AR35" s="297"/>
      <c r="AS35" s="297"/>
      <c r="AT35" s="297"/>
      <c r="AU35" s="297"/>
      <c r="AV35" s="297"/>
      <c r="AW35" s="297"/>
      <c r="AX35" s="297"/>
      <c r="AY35" s="297"/>
      <c r="AZ35" s="297"/>
      <c r="BA35" s="297"/>
      <c r="BB35" s="297"/>
      <c r="BC35" s="297"/>
      <c r="BD35" s="297"/>
      <c r="BE35" s="297"/>
      <c r="BF35" s="297"/>
      <c r="BG35" s="297"/>
      <c r="BH35" s="297"/>
      <c r="BI35" s="324"/>
      <c r="BJ35" s="298"/>
    </row>
    <row r="36" spans="2:62" ht="15" thickBot="1">
      <c r="B36" s="299"/>
      <c r="C36" s="297"/>
      <c r="D36" s="297"/>
      <c r="E36" s="297"/>
      <c r="F36" s="297"/>
      <c r="G36" s="297"/>
      <c r="H36" s="297"/>
      <c r="I36" s="297"/>
      <c r="J36" s="314">
        <v>3</v>
      </c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314">
        <v>39</v>
      </c>
      <c r="AL36" s="314">
        <v>40</v>
      </c>
      <c r="AM36" s="315">
        <v>41</v>
      </c>
      <c r="AN36" s="314">
        <v>42</v>
      </c>
      <c r="AO36" s="315">
        <v>43</v>
      </c>
      <c r="AP36" s="314">
        <v>44</v>
      </c>
      <c r="AQ36" s="315">
        <v>45</v>
      </c>
      <c r="AR36" s="314">
        <v>46</v>
      </c>
      <c r="AS36" s="315">
        <v>47</v>
      </c>
      <c r="AT36" s="314">
        <v>48</v>
      </c>
      <c r="AU36" s="315">
        <v>49</v>
      </c>
      <c r="AV36" s="314">
        <v>50</v>
      </c>
      <c r="AW36" s="315">
        <v>51</v>
      </c>
      <c r="AX36" s="314">
        <v>52</v>
      </c>
      <c r="AY36" s="317">
        <v>53</v>
      </c>
      <c r="AZ36" s="306">
        <v>54</v>
      </c>
      <c r="BA36" s="317">
        <v>55</v>
      </c>
      <c r="BB36" s="306">
        <v>56</v>
      </c>
      <c r="BC36" s="317">
        <v>57</v>
      </c>
      <c r="BD36" s="306">
        <v>58</v>
      </c>
      <c r="BE36" s="317">
        <v>59</v>
      </c>
      <c r="BF36" s="306">
        <v>60</v>
      </c>
      <c r="BG36" s="317">
        <v>61</v>
      </c>
      <c r="BH36" s="319">
        <v>62</v>
      </c>
      <c r="BI36" s="326">
        <v>63</v>
      </c>
      <c r="BJ36" s="298"/>
    </row>
    <row r="37" spans="2:62" ht="15" thickBot="1">
      <c r="B37" s="299"/>
      <c r="C37" s="297"/>
      <c r="D37" s="297"/>
      <c r="E37" s="297"/>
      <c r="F37" s="297"/>
      <c r="G37" s="297"/>
      <c r="H37" s="297"/>
      <c r="I37" s="297"/>
      <c r="J37" s="314">
        <v>2</v>
      </c>
      <c r="K37" s="297"/>
      <c r="L37" s="297"/>
      <c r="M37" s="297"/>
      <c r="N37" s="297"/>
      <c r="O37" s="308"/>
      <c r="P37" s="308"/>
      <c r="Q37" s="308"/>
      <c r="R37" s="308"/>
      <c r="S37" s="308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7"/>
      <c r="AI37" s="297"/>
      <c r="AJ37" s="297"/>
      <c r="AK37" s="297"/>
      <c r="AL37" s="309"/>
      <c r="AM37" s="309"/>
      <c r="AN37" s="309"/>
      <c r="AO37" s="309"/>
      <c r="AP37" s="309"/>
      <c r="AQ37" s="309"/>
      <c r="AR37" s="309"/>
      <c r="AS37" s="309"/>
      <c r="AT37" s="309"/>
      <c r="AU37" s="309"/>
      <c r="AV37" s="309"/>
      <c r="AW37" s="309"/>
      <c r="AX37" s="309"/>
      <c r="AY37" s="309"/>
      <c r="AZ37" s="309"/>
      <c r="BA37" s="309"/>
      <c r="BB37" s="309"/>
      <c r="BC37" s="309"/>
      <c r="BD37" s="309"/>
      <c r="BE37" s="309"/>
      <c r="BF37" s="309"/>
      <c r="BG37" s="309"/>
      <c r="BH37" s="309"/>
      <c r="BI37" s="309"/>
      <c r="BJ37" s="298"/>
    </row>
    <row r="38" spans="2:62" ht="15" thickBot="1">
      <c r="B38" s="299"/>
      <c r="C38" s="297"/>
      <c r="D38" s="297"/>
      <c r="E38" s="297"/>
      <c r="F38" s="297"/>
      <c r="G38" s="297"/>
      <c r="H38" s="297"/>
      <c r="I38" s="297"/>
      <c r="J38" s="314">
        <v>1</v>
      </c>
      <c r="K38" s="297"/>
      <c r="L38" s="297"/>
      <c r="M38" s="297"/>
      <c r="N38" s="297"/>
      <c r="O38" s="308"/>
      <c r="P38" s="308"/>
      <c r="Q38" s="308"/>
      <c r="R38" s="308"/>
      <c r="S38" s="308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297"/>
      <c r="AF38" s="297"/>
      <c r="AG38" s="297"/>
      <c r="AH38" s="297"/>
      <c r="AI38" s="297"/>
      <c r="AJ38" s="297"/>
      <c r="AK38" s="297"/>
      <c r="AL38" s="297"/>
      <c r="AM38" s="297"/>
      <c r="AN38" s="297"/>
      <c r="AO38" s="297"/>
      <c r="AP38" s="297"/>
      <c r="AQ38" s="297"/>
      <c r="AR38" s="297"/>
      <c r="AS38" s="297"/>
      <c r="AT38" s="297"/>
      <c r="AU38" s="297"/>
      <c r="AV38" s="297"/>
      <c r="AW38" s="297"/>
      <c r="AX38" s="297"/>
      <c r="AY38" s="297"/>
      <c r="AZ38" s="297"/>
      <c r="BA38" s="297"/>
      <c r="BB38" s="297"/>
      <c r="BC38" s="297"/>
      <c r="BD38" s="297"/>
      <c r="BE38" s="297"/>
      <c r="BF38" s="297"/>
      <c r="BG38" s="297"/>
      <c r="BH38" s="297"/>
      <c r="BI38" s="297"/>
      <c r="BJ38" s="298"/>
    </row>
    <row r="39" spans="2:62" ht="15" thickBot="1">
      <c r="B39" s="299"/>
      <c r="C39" s="297"/>
      <c r="D39" s="297"/>
      <c r="E39" s="297"/>
      <c r="F39" s="297"/>
      <c r="G39" s="297"/>
      <c r="H39" s="297"/>
      <c r="I39" s="297"/>
      <c r="J39" s="314">
        <v>0</v>
      </c>
      <c r="K39" s="297"/>
      <c r="L39" s="297"/>
      <c r="M39" s="297"/>
      <c r="N39" s="297"/>
      <c r="O39" s="308"/>
      <c r="P39" s="308"/>
      <c r="Q39" s="308"/>
      <c r="R39" s="308"/>
      <c r="S39" s="308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297"/>
      <c r="AF39" s="297"/>
      <c r="AG39" s="297"/>
      <c r="AH39" s="297"/>
      <c r="AI39" s="297"/>
      <c r="AJ39" s="297"/>
      <c r="AK39" s="297"/>
      <c r="AL39" s="297"/>
      <c r="AM39" s="297"/>
      <c r="AN39" s="297"/>
      <c r="AO39" s="297"/>
      <c r="AP39" s="297"/>
      <c r="AQ39" s="297"/>
      <c r="AR39" s="297"/>
      <c r="AS39" s="297"/>
      <c r="AT39" s="297"/>
      <c r="AU39" s="297"/>
      <c r="AV39" s="297"/>
      <c r="AW39" s="297"/>
      <c r="AX39" s="297"/>
      <c r="AY39" s="297"/>
      <c r="AZ39" s="297"/>
      <c r="BA39" s="297"/>
      <c r="BB39" s="297"/>
      <c r="BC39" s="297"/>
      <c r="BD39" s="297"/>
      <c r="BE39" s="297"/>
      <c r="BF39" s="297"/>
      <c r="BG39" s="297"/>
      <c r="BH39" s="297"/>
      <c r="BI39" s="297"/>
      <c r="BJ39" s="298"/>
    </row>
    <row r="40" spans="2:62">
      <c r="B40" s="299"/>
      <c r="C40" s="308"/>
      <c r="D40" s="308"/>
      <c r="E40" s="308"/>
      <c r="F40" s="308"/>
      <c r="G40" s="308"/>
      <c r="H40" s="308"/>
      <c r="I40" s="297"/>
      <c r="J40" s="308"/>
      <c r="K40" s="308"/>
      <c r="L40" s="308"/>
      <c r="M40" s="308"/>
      <c r="N40" s="308"/>
      <c r="O40" s="308"/>
      <c r="P40" s="308"/>
      <c r="Q40" s="308"/>
      <c r="R40" s="308"/>
      <c r="S40" s="308"/>
      <c r="T40" s="308"/>
      <c r="U40" s="308"/>
      <c r="V40" s="308"/>
      <c r="W40" s="308"/>
      <c r="X40" s="308"/>
      <c r="Y40" s="308"/>
      <c r="Z40" s="308"/>
      <c r="AA40" s="308"/>
      <c r="AB40" s="308"/>
      <c r="AC40" s="308"/>
      <c r="AD40" s="308"/>
      <c r="AE40" s="308"/>
      <c r="AF40" s="308"/>
      <c r="AG40" s="308"/>
      <c r="AH40" s="308"/>
      <c r="AI40" s="308"/>
      <c r="AJ40" s="308"/>
      <c r="AK40" s="308"/>
      <c r="AL40" s="308"/>
      <c r="AM40" s="308"/>
      <c r="AN40" s="308"/>
      <c r="AO40" s="308"/>
      <c r="AP40" s="308"/>
      <c r="AQ40" s="308"/>
      <c r="AR40" s="308"/>
      <c r="AS40" s="308"/>
      <c r="AT40" s="308"/>
      <c r="AU40" s="308"/>
      <c r="AV40" s="308"/>
      <c r="AW40" s="308"/>
      <c r="AX40" s="308"/>
      <c r="AY40" s="308"/>
      <c r="AZ40" s="308"/>
      <c r="BA40" s="308"/>
      <c r="BB40" s="308"/>
      <c r="BC40" s="308"/>
      <c r="BD40" s="308"/>
      <c r="BE40" s="308"/>
      <c r="BF40" s="308"/>
      <c r="BG40" s="308"/>
      <c r="BH40" s="308"/>
      <c r="BI40" s="308"/>
      <c r="BJ40" s="298"/>
    </row>
    <row r="41" spans="2:62">
      <c r="B41" s="299"/>
      <c r="C41" s="308"/>
      <c r="D41" s="308"/>
      <c r="E41" s="308"/>
      <c r="F41" s="308"/>
      <c r="G41" s="308"/>
      <c r="H41" s="308"/>
      <c r="I41" s="308"/>
      <c r="J41" s="308"/>
      <c r="K41" s="308"/>
      <c r="L41" s="308"/>
      <c r="M41" s="308"/>
      <c r="N41" s="308"/>
      <c r="O41" s="308"/>
      <c r="P41" s="308"/>
      <c r="Q41" s="308"/>
      <c r="R41" s="308"/>
      <c r="S41" s="308"/>
      <c r="U41" s="308"/>
      <c r="V41" s="308"/>
      <c r="W41" s="308"/>
      <c r="X41" s="308"/>
      <c r="Y41" s="308"/>
      <c r="Z41" s="308"/>
      <c r="AA41" s="308"/>
      <c r="AB41" s="308"/>
      <c r="AC41" s="308"/>
      <c r="AD41" s="308"/>
      <c r="AE41" s="308"/>
      <c r="AF41" s="308"/>
      <c r="AG41" s="308"/>
      <c r="AH41" s="308"/>
      <c r="AI41" s="308"/>
      <c r="AJ41" s="308"/>
      <c r="AK41" s="308"/>
      <c r="AL41" s="308"/>
      <c r="AM41" s="308"/>
      <c r="AN41" s="308"/>
      <c r="AO41" s="308"/>
      <c r="AP41" s="308"/>
      <c r="AQ41" s="308"/>
      <c r="AR41" s="308"/>
      <c r="AS41" s="308"/>
      <c r="AT41" s="308"/>
      <c r="AU41" s="308"/>
      <c r="AV41" s="308"/>
      <c r="AW41" s="308"/>
      <c r="AX41" s="308"/>
      <c r="AY41" s="308"/>
      <c r="AZ41" s="308"/>
      <c r="BA41" s="308"/>
      <c r="BB41" s="308"/>
      <c r="BC41" s="308"/>
      <c r="BD41" s="308"/>
      <c r="BE41" s="308"/>
      <c r="BF41" s="308"/>
      <c r="BG41" s="308"/>
      <c r="BH41" s="308"/>
      <c r="BI41" s="308" t="s">
        <v>383</v>
      </c>
      <c r="BJ41" s="298"/>
    </row>
    <row r="42" spans="2:62" ht="15" thickBot="1">
      <c r="B42" s="310"/>
      <c r="C42" s="311"/>
      <c r="D42" s="311"/>
      <c r="E42" s="311"/>
      <c r="F42" s="311"/>
      <c r="G42" s="311"/>
      <c r="H42" s="311"/>
      <c r="I42" s="311"/>
      <c r="J42" s="311"/>
      <c r="K42" s="311"/>
      <c r="L42" s="311"/>
      <c r="M42" s="311"/>
      <c r="N42" s="311"/>
      <c r="O42" s="311"/>
      <c r="P42" s="311"/>
      <c r="Q42" s="311"/>
      <c r="R42" s="311"/>
      <c r="S42" s="311"/>
      <c r="T42" s="311"/>
      <c r="U42" s="311"/>
      <c r="V42" s="311"/>
      <c r="W42" s="311"/>
      <c r="X42" s="311"/>
      <c r="Y42" s="311"/>
      <c r="Z42" s="311"/>
      <c r="AA42" s="311"/>
      <c r="AB42" s="311"/>
      <c r="AC42" s="311"/>
      <c r="AD42" s="311"/>
      <c r="AE42" s="311"/>
      <c r="AF42" s="311"/>
      <c r="AG42" s="311"/>
      <c r="AH42" s="311"/>
      <c r="AI42" s="311"/>
      <c r="AJ42" s="311"/>
      <c r="AK42" s="311"/>
      <c r="AL42" s="311"/>
      <c r="AM42" s="311"/>
      <c r="AN42" s="311"/>
      <c r="AO42" s="311"/>
      <c r="AP42" s="311"/>
      <c r="AQ42" s="311"/>
      <c r="AR42" s="311"/>
      <c r="AS42" s="311"/>
      <c r="AT42" s="311"/>
      <c r="AU42" s="311"/>
      <c r="AV42" s="311"/>
      <c r="AW42" s="311"/>
      <c r="AX42" s="311"/>
      <c r="AY42" s="311"/>
      <c r="AZ42" s="311"/>
      <c r="BA42" s="311"/>
      <c r="BB42" s="311"/>
      <c r="BC42" s="311"/>
      <c r="BD42" s="311"/>
      <c r="BE42" s="311"/>
      <c r="BF42" s="311"/>
      <c r="BG42" s="311"/>
      <c r="BH42" s="311"/>
      <c r="BI42" s="311"/>
      <c r="BJ42" s="312"/>
    </row>
    <row r="43" spans="2:62"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  <c r="AL43" s="338"/>
      <c r="AM43" s="338"/>
      <c r="AN43" s="338"/>
      <c r="AO43" s="338"/>
      <c r="AP43" s="338"/>
      <c r="AQ43" s="338"/>
      <c r="AR43" s="338"/>
      <c r="AS43" s="338"/>
      <c r="AT43" s="338"/>
      <c r="AU43" s="338"/>
      <c r="AV43" s="338"/>
      <c r="AW43" s="338"/>
      <c r="AX43" s="338"/>
      <c r="AY43" s="338"/>
      <c r="AZ43" s="338"/>
      <c r="BA43" s="338"/>
      <c r="BB43" s="338"/>
      <c r="BC43" s="338"/>
      <c r="BD43" s="338"/>
      <c r="BE43" s="338"/>
      <c r="BF43" s="338"/>
      <c r="BG43" s="338"/>
      <c r="BH43" s="338"/>
      <c r="BI43" s="338"/>
      <c r="BJ43" s="338"/>
    </row>
    <row r="44" spans="2:62">
      <c r="B44" s="338"/>
      <c r="C44" s="338"/>
      <c r="D44" s="338"/>
      <c r="E44" s="338"/>
      <c r="F44" s="338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  <c r="AL44" s="338"/>
      <c r="AM44" s="338"/>
      <c r="AN44" s="338"/>
      <c r="AO44" s="338"/>
      <c r="AP44" s="338"/>
      <c r="AQ44" s="338"/>
      <c r="AR44" s="338"/>
      <c r="AS44" s="338"/>
      <c r="AT44" s="338"/>
      <c r="AU44" s="338"/>
      <c r="AV44" s="338"/>
      <c r="AW44" s="338"/>
      <c r="AX44" s="338"/>
      <c r="AY44" s="338"/>
      <c r="AZ44" s="338"/>
      <c r="BA44" s="338"/>
      <c r="BB44" s="338"/>
      <c r="BC44" s="338"/>
      <c r="BD44" s="338"/>
      <c r="BE44" s="338"/>
      <c r="BF44" s="338"/>
      <c r="BG44" s="338"/>
      <c r="BH44" s="338"/>
      <c r="BI44" s="338"/>
      <c r="BJ44" s="338"/>
    </row>
    <row r="46" spans="2:62" ht="15" thickBot="1">
      <c r="B46" s="18" t="s">
        <v>381</v>
      </c>
    </row>
    <row r="47" spans="2:62">
      <c r="B47" s="293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5"/>
    </row>
    <row r="48" spans="2:62" ht="15" thickBot="1">
      <c r="B48" s="296"/>
      <c r="C48" s="297"/>
      <c r="D48" s="297"/>
      <c r="E48" s="297"/>
      <c r="F48" s="297"/>
      <c r="G48" s="297"/>
      <c r="H48" s="297"/>
      <c r="I48" s="297"/>
      <c r="J48" s="297"/>
      <c r="K48" s="297"/>
      <c r="L48" s="297"/>
      <c r="M48" s="297"/>
      <c r="N48" s="297"/>
      <c r="O48" s="297"/>
      <c r="P48" s="297"/>
      <c r="Q48" s="297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297"/>
      <c r="AJ48" s="297"/>
      <c r="AK48" s="297"/>
      <c r="AL48" s="297"/>
      <c r="AM48" s="297"/>
      <c r="AN48" s="297"/>
      <c r="AO48" s="297"/>
      <c r="AP48" s="297"/>
      <c r="AQ48" s="297"/>
      <c r="AR48" s="297"/>
      <c r="AS48" s="297"/>
      <c r="AT48" s="297"/>
      <c r="AU48" s="297"/>
      <c r="AV48" s="297"/>
      <c r="AW48" s="297"/>
      <c r="AX48" s="297"/>
      <c r="AY48" s="297"/>
      <c r="AZ48" s="297"/>
      <c r="BA48" s="297"/>
      <c r="BB48" s="297"/>
      <c r="BC48" s="297"/>
      <c r="BD48" s="297"/>
      <c r="BE48" s="297"/>
      <c r="BF48" s="297"/>
      <c r="BG48" s="297"/>
      <c r="BH48" s="297"/>
      <c r="BI48" s="308"/>
      <c r="BJ48" s="298"/>
    </row>
    <row r="49" spans="2:62" ht="15" thickBot="1">
      <c r="B49" s="299"/>
      <c r="C49" s="306">
        <v>12</v>
      </c>
      <c r="D49" s="315">
        <v>11</v>
      </c>
      <c r="E49" s="315">
        <v>10</v>
      </c>
      <c r="F49" s="315">
        <v>9</v>
      </c>
      <c r="G49" s="315">
        <v>8</v>
      </c>
      <c r="H49" s="315">
        <v>7</v>
      </c>
      <c r="I49" s="316">
        <v>6</v>
      </c>
      <c r="J49" s="314">
        <v>5</v>
      </c>
      <c r="K49" s="315">
        <v>13</v>
      </c>
      <c r="L49" s="314">
        <v>14</v>
      </c>
      <c r="M49" s="315">
        <v>15</v>
      </c>
      <c r="N49" s="315">
        <v>16</v>
      </c>
      <c r="O49" s="315">
        <v>17</v>
      </c>
      <c r="P49" s="315">
        <v>18</v>
      </c>
      <c r="Q49" s="315">
        <v>19</v>
      </c>
      <c r="R49" s="314">
        <v>20</v>
      </c>
      <c r="S49" s="315">
        <v>21</v>
      </c>
      <c r="T49" s="314">
        <v>22</v>
      </c>
      <c r="U49" s="315">
        <v>23</v>
      </c>
      <c r="V49" s="314">
        <v>24</v>
      </c>
      <c r="W49" s="315">
        <v>25</v>
      </c>
      <c r="X49" s="314">
        <v>26</v>
      </c>
      <c r="Y49" s="315">
        <v>27</v>
      </c>
      <c r="Z49" s="314">
        <v>28</v>
      </c>
      <c r="AA49" s="315">
        <v>29</v>
      </c>
      <c r="AB49" s="314">
        <v>30</v>
      </c>
      <c r="AC49" s="315">
        <v>31</v>
      </c>
      <c r="AD49" s="305">
        <v>32</v>
      </c>
      <c r="AE49" s="301">
        <v>33</v>
      </c>
      <c r="AF49" s="305">
        <v>34</v>
      </c>
      <c r="AG49" s="301">
        <v>35</v>
      </c>
      <c r="AH49" s="305">
        <v>36</v>
      </c>
      <c r="AI49" s="301">
        <v>37</v>
      </c>
      <c r="AJ49" s="305">
        <v>38</v>
      </c>
      <c r="AK49" s="305">
        <v>9998</v>
      </c>
      <c r="AL49" s="297"/>
      <c r="AM49" s="297"/>
      <c r="AN49" s="297"/>
      <c r="AO49" s="297"/>
      <c r="AP49" s="297"/>
      <c r="AQ49" s="297"/>
      <c r="AR49" s="297"/>
      <c r="AS49" s="297"/>
      <c r="AT49" s="297"/>
      <c r="AU49" s="297"/>
      <c r="AV49" s="297"/>
      <c r="AW49" s="297"/>
      <c r="AX49" s="297"/>
      <c r="AY49" s="297"/>
      <c r="AZ49" s="297"/>
      <c r="BA49" s="297"/>
      <c r="BB49" s="297"/>
      <c r="BC49" s="297"/>
      <c r="BD49" s="297"/>
      <c r="BE49" s="297"/>
      <c r="BF49" s="297"/>
      <c r="BG49" s="297"/>
      <c r="BH49" s="297"/>
      <c r="BI49" s="297"/>
      <c r="BJ49" s="298"/>
    </row>
    <row r="50" spans="2:62" ht="15" thickBot="1">
      <c r="B50" s="299"/>
      <c r="C50" s="297"/>
      <c r="D50" s="297"/>
      <c r="E50" s="297"/>
      <c r="F50" s="297"/>
      <c r="G50" s="297"/>
      <c r="H50" s="297"/>
      <c r="I50" s="297"/>
      <c r="J50" s="314">
        <v>4</v>
      </c>
      <c r="K50" s="297"/>
      <c r="L50" s="297"/>
      <c r="M50" s="297"/>
      <c r="N50" s="297"/>
      <c r="O50" s="297"/>
      <c r="P50" s="297"/>
      <c r="Q50" s="297"/>
      <c r="R50" s="297"/>
      <c r="S50" s="297"/>
      <c r="T50" s="297"/>
      <c r="U50" s="297"/>
      <c r="V50" s="297"/>
      <c r="W50" s="297"/>
      <c r="X50" s="297"/>
      <c r="Y50" s="297"/>
      <c r="Z50" s="297"/>
      <c r="AA50" s="297"/>
      <c r="AB50" s="297"/>
      <c r="AC50" s="297"/>
      <c r="AD50" s="297"/>
      <c r="AE50" s="297"/>
      <c r="AF50" s="297"/>
      <c r="AG50" s="297"/>
      <c r="AH50" s="297"/>
      <c r="AI50" s="297"/>
      <c r="AJ50" s="297"/>
      <c r="AK50" s="297"/>
      <c r="AL50" s="297"/>
      <c r="AM50" s="297"/>
      <c r="AN50" s="297"/>
      <c r="AO50" s="297"/>
      <c r="AP50" s="297"/>
      <c r="AQ50" s="297"/>
      <c r="AR50" s="297"/>
      <c r="AS50" s="297"/>
      <c r="AT50" s="297"/>
      <c r="AU50" s="297"/>
      <c r="AV50" s="297"/>
      <c r="AW50" s="297"/>
      <c r="AX50" s="297"/>
      <c r="AY50" s="297"/>
      <c r="AZ50" s="297"/>
      <c r="BA50" s="297"/>
      <c r="BB50" s="297"/>
      <c r="BC50" s="297"/>
      <c r="BD50" s="297"/>
      <c r="BE50" s="297"/>
      <c r="BF50" s="297"/>
      <c r="BG50" s="297"/>
      <c r="BH50" s="297"/>
      <c r="BJ50" s="298"/>
    </row>
    <row r="51" spans="2:62" ht="15" thickBot="1">
      <c r="B51" s="299"/>
      <c r="C51" s="297"/>
      <c r="D51" s="297"/>
      <c r="E51" s="297"/>
      <c r="F51" s="297"/>
      <c r="G51" s="297"/>
      <c r="H51" s="297"/>
      <c r="I51" s="297"/>
      <c r="J51" s="314">
        <v>3</v>
      </c>
      <c r="K51" s="297"/>
      <c r="L51" s="297"/>
      <c r="M51" s="297"/>
      <c r="N51" s="297"/>
      <c r="O51" s="297"/>
      <c r="P51" s="297"/>
      <c r="Q51" s="297"/>
      <c r="R51" s="297"/>
      <c r="S51" s="297"/>
      <c r="T51" s="297"/>
      <c r="U51" s="297"/>
      <c r="V51" s="297"/>
      <c r="W51" s="297"/>
      <c r="X51" s="297"/>
      <c r="Y51" s="297"/>
      <c r="Z51" s="297"/>
      <c r="AA51" s="297"/>
      <c r="AB51" s="297"/>
      <c r="AC51" s="297"/>
      <c r="AD51" s="297"/>
      <c r="AE51" s="297"/>
      <c r="AF51" s="297"/>
      <c r="AG51" s="297"/>
      <c r="AH51" s="297"/>
      <c r="AI51" s="297"/>
      <c r="AJ51" s="297"/>
      <c r="AK51" s="314">
        <v>39</v>
      </c>
      <c r="AL51" s="314">
        <v>40</v>
      </c>
      <c r="AM51" s="315">
        <v>41</v>
      </c>
      <c r="AN51" s="314">
        <v>42</v>
      </c>
      <c r="AO51" s="315">
        <v>43</v>
      </c>
      <c r="AP51" s="314">
        <v>44</v>
      </c>
      <c r="AQ51" s="315">
        <v>45</v>
      </c>
      <c r="AR51" s="314">
        <v>46</v>
      </c>
      <c r="AS51" s="315">
        <v>47</v>
      </c>
      <c r="AT51" s="314">
        <v>48</v>
      </c>
      <c r="AU51" s="315">
        <v>49</v>
      </c>
      <c r="AV51" s="314">
        <v>50</v>
      </c>
      <c r="AW51" s="315">
        <v>51</v>
      </c>
      <c r="AX51" s="314">
        <v>52</v>
      </c>
      <c r="AY51" s="317">
        <v>53</v>
      </c>
      <c r="AZ51" s="306">
        <v>54</v>
      </c>
      <c r="BA51" s="317">
        <v>55</v>
      </c>
      <c r="BB51" s="306">
        <v>56</v>
      </c>
      <c r="BC51" s="317">
        <v>57</v>
      </c>
      <c r="BD51" s="306">
        <v>58</v>
      </c>
      <c r="BE51" s="317">
        <v>59</v>
      </c>
      <c r="BF51" s="306">
        <v>60</v>
      </c>
      <c r="BG51" s="317">
        <v>61</v>
      </c>
      <c r="BH51" s="317">
        <v>62</v>
      </c>
      <c r="BI51" s="300">
        <v>63</v>
      </c>
      <c r="BJ51" s="298"/>
    </row>
    <row r="52" spans="2:62" ht="15" thickBot="1">
      <c r="B52" s="299"/>
      <c r="C52" s="297"/>
      <c r="D52" s="297"/>
      <c r="E52" s="297"/>
      <c r="F52" s="297"/>
      <c r="G52" s="297"/>
      <c r="H52" s="297"/>
      <c r="I52" s="297"/>
      <c r="J52" s="314">
        <v>2</v>
      </c>
      <c r="K52" s="297"/>
      <c r="L52" s="297"/>
      <c r="M52" s="297"/>
      <c r="N52" s="297"/>
      <c r="O52" s="308"/>
      <c r="P52" s="308"/>
      <c r="Q52" s="308"/>
      <c r="R52" s="308"/>
      <c r="S52" s="308"/>
      <c r="T52" s="297"/>
      <c r="U52" s="297"/>
      <c r="V52" s="297"/>
      <c r="W52" s="297"/>
      <c r="X52" s="297"/>
      <c r="Y52" s="297"/>
      <c r="Z52" s="297"/>
      <c r="AA52" s="297"/>
      <c r="AB52" s="297"/>
      <c r="AC52" s="297"/>
      <c r="AD52" s="297"/>
      <c r="AE52" s="297"/>
      <c r="AF52" s="297"/>
      <c r="AG52" s="297"/>
      <c r="AH52" s="297"/>
      <c r="AI52" s="297"/>
      <c r="AJ52" s="297"/>
      <c r="AK52" s="297"/>
      <c r="AL52" s="297"/>
      <c r="AM52" s="297"/>
      <c r="AN52" s="297"/>
      <c r="AO52" s="297"/>
      <c r="AP52" s="297"/>
      <c r="AQ52" s="297"/>
      <c r="AR52" s="297"/>
      <c r="AS52" s="297"/>
      <c r="AT52" s="297"/>
      <c r="AU52" s="297"/>
      <c r="AV52" s="297"/>
      <c r="AW52" s="297"/>
      <c r="AX52" s="297"/>
      <c r="AY52" s="297"/>
      <c r="AZ52" s="297"/>
      <c r="BA52" s="297"/>
      <c r="BB52" s="297"/>
      <c r="BC52" s="297"/>
      <c r="BD52" s="297"/>
      <c r="BE52" s="297"/>
      <c r="BF52" s="297"/>
      <c r="BG52" s="297"/>
      <c r="BH52" s="297"/>
      <c r="BI52" s="297"/>
      <c r="BJ52" s="298"/>
    </row>
    <row r="53" spans="2:62" ht="15" thickBot="1">
      <c r="B53" s="299"/>
      <c r="C53" s="297"/>
      <c r="D53" s="297"/>
      <c r="E53" s="297"/>
      <c r="F53" s="297"/>
      <c r="G53" s="297"/>
      <c r="H53" s="297"/>
      <c r="I53" s="297"/>
      <c r="J53" s="314">
        <v>1</v>
      </c>
      <c r="K53" s="297"/>
      <c r="L53" s="297"/>
      <c r="M53" s="297"/>
      <c r="N53" s="297"/>
      <c r="O53" s="308"/>
      <c r="P53" s="308"/>
      <c r="Q53" s="308"/>
      <c r="R53" s="308"/>
      <c r="S53" s="308"/>
      <c r="T53" s="297"/>
      <c r="U53" s="297"/>
      <c r="V53" s="297"/>
      <c r="W53" s="297"/>
      <c r="X53" s="297"/>
      <c r="Y53" s="297"/>
      <c r="Z53" s="297"/>
      <c r="AA53" s="297"/>
      <c r="AB53" s="297"/>
      <c r="AC53" s="297"/>
      <c r="AD53" s="297"/>
      <c r="AE53" s="297"/>
      <c r="AF53" s="297"/>
      <c r="AG53" s="297"/>
      <c r="AH53" s="297"/>
      <c r="AI53" s="297"/>
      <c r="AJ53" s="297"/>
      <c r="AK53" s="297"/>
      <c r="AL53" s="297"/>
      <c r="AM53" s="297"/>
      <c r="AN53" s="297"/>
      <c r="AO53" s="297"/>
      <c r="AP53" s="297"/>
      <c r="AQ53" s="297"/>
      <c r="AR53" s="297"/>
      <c r="AS53" s="297"/>
      <c r="AT53" s="297"/>
      <c r="AU53" s="297"/>
      <c r="AV53" s="297"/>
      <c r="AW53" s="297"/>
      <c r="AX53" s="297"/>
      <c r="AY53" s="297"/>
      <c r="AZ53" s="297"/>
      <c r="BA53" s="297"/>
      <c r="BB53" s="297"/>
      <c r="BC53" s="297"/>
      <c r="BD53" s="297"/>
      <c r="BE53" s="297"/>
      <c r="BF53" s="297"/>
      <c r="BG53" s="297"/>
      <c r="BH53" s="297"/>
      <c r="BI53" s="297"/>
      <c r="BJ53" s="298"/>
    </row>
    <row r="54" spans="2:62" ht="15" thickBot="1">
      <c r="B54" s="299"/>
      <c r="C54" s="297"/>
      <c r="D54" s="297"/>
      <c r="E54" s="297"/>
      <c r="F54" s="297"/>
      <c r="G54" s="297"/>
      <c r="H54" s="297"/>
      <c r="I54" s="297"/>
      <c r="J54" s="314">
        <v>0</v>
      </c>
      <c r="K54" s="297"/>
      <c r="L54" s="297"/>
      <c r="M54" s="297"/>
      <c r="N54" s="297"/>
      <c r="O54" s="308"/>
      <c r="P54" s="308"/>
      <c r="Q54" s="308"/>
      <c r="R54" s="308"/>
      <c r="S54" s="308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297"/>
      <c r="AJ54" s="297"/>
      <c r="AK54" s="297"/>
      <c r="AL54" s="297"/>
      <c r="AM54" s="297"/>
      <c r="AN54" s="297"/>
      <c r="AO54" s="297"/>
      <c r="AP54" s="297"/>
      <c r="AQ54" s="297"/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297"/>
      <c r="BF54" s="297"/>
      <c r="BG54" s="297"/>
      <c r="BH54" s="297"/>
      <c r="BI54" s="297"/>
      <c r="BJ54" s="298"/>
    </row>
    <row r="55" spans="2:62">
      <c r="B55" s="299"/>
      <c r="C55" s="308"/>
      <c r="D55" s="308"/>
      <c r="E55" s="308"/>
      <c r="F55" s="308"/>
      <c r="G55" s="308"/>
      <c r="H55" s="308"/>
      <c r="I55" s="297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8"/>
      <c r="X55" s="308"/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08"/>
      <c r="BC55" s="308"/>
      <c r="BD55" s="308"/>
      <c r="BE55" s="308"/>
      <c r="BF55" s="308"/>
      <c r="BG55" s="308"/>
      <c r="BH55" s="308"/>
      <c r="BI55" s="308"/>
      <c r="BJ55" s="298"/>
    </row>
    <row r="56" spans="2:62">
      <c r="B56" s="299"/>
      <c r="C56" s="308"/>
      <c r="D56" s="308"/>
      <c r="E56" s="308"/>
      <c r="F56" s="308"/>
      <c r="G56" s="308"/>
      <c r="H56" s="308"/>
      <c r="I56" s="308"/>
      <c r="J56" s="308"/>
      <c r="K56" s="308"/>
      <c r="L56" s="308"/>
      <c r="M56" s="308"/>
      <c r="N56" s="308"/>
      <c r="O56" s="308"/>
      <c r="P56" s="308"/>
      <c r="Q56" s="308"/>
      <c r="R56" s="308"/>
      <c r="S56" s="308"/>
      <c r="U56" s="308"/>
      <c r="V56" s="308"/>
      <c r="W56" s="308"/>
      <c r="X56" s="308"/>
      <c r="Y56" s="308"/>
      <c r="Z56" s="308"/>
      <c r="AA56" s="308"/>
      <c r="AB56" s="308"/>
      <c r="AC56" s="308"/>
      <c r="AD56" s="308"/>
      <c r="AE56" s="308"/>
      <c r="AF56" s="308"/>
      <c r="AG56" s="308"/>
      <c r="AH56" s="308"/>
      <c r="AI56" s="308"/>
      <c r="AJ56" s="308"/>
      <c r="AK56" s="308"/>
      <c r="AL56" s="308"/>
      <c r="AM56" s="308"/>
      <c r="AN56" s="308"/>
      <c r="AO56" s="308"/>
      <c r="AP56" s="308"/>
      <c r="AQ56" s="308"/>
      <c r="AR56" s="308"/>
      <c r="AS56" s="308"/>
      <c r="AT56" s="308"/>
      <c r="AU56" s="308"/>
      <c r="AV56" s="308"/>
      <c r="AW56" s="308"/>
      <c r="AX56" s="308"/>
      <c r="AY56" s="308"/>
      <c r="AZ56" s="308"/>
      <c r="BA56" s="308"/>
      <c r="BB56" s="308"/>
      <c r="BC56" s="308"/>
      <c r="BD56" s="308"/>
      <c r="BE56" s="308"/>
      <c r="BF56" s="308"/>
      <c r="BG56" s="308"/>
      <c r="BH56" s="308"/>
      <c r="BI56" s="308" t="s">
        <v>383</v>
      </c>
      <c r="BJ56" s="298"/>
    </row>
    <row r="57" spans="2:62" ht="15" thickBot="1">
      <c r="B57" s="310"/>
      <c r="C57" s="311"/>
      <c r="D57" s="311"/>
      <c r="E57" s="311"/>
      <c r="F57" s="311"/>
      <c r="G57" s="311"/>
      <c r="H57" s="311"/>
      <c r="I57" s="311"/>
      <c r="J57" s="311"/>
      <c r="K57" s="311"/>
      <c r="L57" s="311"/>
      <c r="M57" s="311"/>
      <c r="N57" s="311"/>
      <c r="O57" s="311"/>
      <c r="P57" s="311"/>
      <c r="Q57" s="311"/>
      <c r="R57" s="311"/>
      <c r="S57" s="311"/>
      <c r="T57" s="311"/>
      <c r="U57" s="311"/>
      <c r="V57" s="311"/>
      <c r="W57" s="311"/>
      <c r="X57" s="311"/>
      <c r="Y57" s="311"/>
      <c r="Z57" s="311"/>
      <c r="AA57" s="311"/>
      <c r="AB57" s="311"/>
      <c r="AC57" s="311"/>
      <c r="AD57" s="311"/>
      <c r="AE57" s="311"/>
      <c r="AF57" s="311"/>
      <c r="AG57" s="311"/>
      <c r="AH57" s="311"/>
      <c r="AI57" s="311"/>
      <c r="AJ57" s="311"/>
      <c r="AK57" s="311"/>
      <c r="AL57" s="311"/>
      <c r="AM57" s="311"/>
      <c r="AN57" s="311"/>
      <c r="AO57" s="311"/>
      <c r="AP57" s="311"/>
      <c r="AQ57" s="311"/>
      <c r="AR57" s="311"/>
      <c r="AS57" s="311"/>
      <c r="AT57" s="311"/>
      <c r="AU57" s="311"/>
      <c r="AV57" s="311"/>
      <c r="AW57" s="311"/>
      <c r="AX57" s="311"/>
      <c r="AY57" s="311"/>
      <c r="AZ57" s="311"/>
      <c r="BA57" s="311"/>
      <c r="BB57" s="311"/>
      <c r="BC57" s="311"/>
      <c r="BD57" s="311"/>
      <c r="BE57" s="311"/>
      <c r="BF57" s="311"/>
      <c r="BG57" s="311"/>
      <c r="BH57" s="311"/>
      <c r="BI57" s="311"/>
      <c r="BJ57" s="312"/>
    </row>
    <row r="58" spans="2:62"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  <c r="AL58" s="338"/>
      <c r="AM58" s="338"/>
      <c r="AN58" s="338"/>
      <c r="AO58" s="338"/>
      <c r="AP58" s="338"/>
      <c r="AQ58" s="338"/>
      <c r="AR58" s="338"/>
      <c r="AS58" s="338"/>
      <c r="AT58" s="338"/>
      <c r="AU58" s="338"/>
      <c r="AV58" s="338"/>
      <c r="AW58" s="338"/>
      <c r="AX58" s="338"/>
      <c r="AY58" s="338"/>
      <c r="AZ58" s="338"/>
      <c r="BA58" s="338"/>
      <c r="BB58" s="338"/>
      <c r="BC58" s="338"/>
      <c r="BD58" s="338"/>
      <c r="BE58" s="338"/>
      <c r="BF58" s="338"/>
      <c r="BG58" s="338"/>
      <c r="BH58" s="338"/>
      <c r="BI58" s="338"/>
      <c r="BJ58" s="338"/>
    </row>
    <row r="59" spans="2:62"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  <c r="AL59" s="338"/>
      <c r="AM59" s="338"/>
      <c r="AN59" s="338"/>
      <c r="AO59" s="338"/>
      <c r="AP59" s="338"/>
      <c r="AQ59" s="338"/>
      <c r="AR59" s="338"/>
      <c r="AS59" s="338"/>
      <c r="AT59" s="338"/>
      <c r="AU59" s="338"/>
      <c r="AV59" s="338"/>
      <c r="AW59" s="338"/>
      <c r="AX59" s="338"/>
      <c r="AY59" s="338"/>
      <c r="AZ59" s="338"/>
      <c r="BA59" s="338"/>
      <c r="BB59" s="338"/>
      <c r="BC59" s="338"/>
      <c r="BD59" s="338"/>
      <c r="BE59" s="338"/>
      <c r="BF59" s="338"/>
      <c r="BG59" s="338"/>
      <c r="BH59" s="338"/>
      <c r="BI59" s="338"/>
      <c r="BJ59" s="338"/>
    </row>
    <row r="60" spans="2:62">
      <c r="B60" s="339"/>
      <c r="C60" s="339"/>
      <c r="D60" s="339"/>
      <c r="E60" s="339"/>
      <c r="F60" s="339"/>
      <c r="G60" s="339"/>
      <c r="H60" s="339"/>
      <c r="I60" s="339"/>
      <c r="J60" s="339"/>
      <c r="K60" s="339"/>
      <c r="L60" s="339"/>
      <c r="M60" s="339"/>
      <c r="N60" s="339"/>
      <c r="O60" s="339"/>
      <c r="P60" s="339"/>
      <c r="Q60" s="339"/>
      <c r="R60" s="339"/>
      <c r="S60" s="339"/>
      <c r="T60" s="339"/>
      <c r="U60" s="339"/>
      <c r="V60" s="339"/>
      <c r="W60" s="339"/>
      <c r="X60" s="339"/>
      <c r="Y60" s="339"/>
      <c r="Z60" s="339"/>
      <c r="AA60" s="339"/>
      <c r="AB60" s="339"/>
      <c r="AC60" s="339"/>
      <c r="AD60" s="339"/>
      <c r="AE60" s="339"/>
      <c r="AF60" s="339"/>
      <c r="AG60" s="339"/>
      <c r="AH60" s="339"/>
      <c r="AI60" s="339"/>
      <c r="AJ60" s="339"/>
      <c r="AK60" s="339"/>
      <c r="AL60" s="339"/>
      <c r="AM60" s="339"/>
      <c r="AN60" s="339"/>
      <c r="AO60" s="339"/>
      <c r="AP60" s="339"/>
      <c r="AQ60" s="339"/>
      <c r="AR60" s="339"/>
      <c r="AS60" s="339"/>
      <c r="AT60" s="339"/>
      <c r="AU60" s="339"/>
      <c r="AV60" s="339"/>
      <c r="AW60" s="339"/>
      <c r="AX60" s="339"/>
      <c r="AY60" s="339"/>
      <c r="AZ60" s="339"/>
      <c r="BA60" s="339"/>
      <c r="BB60" s="339"/>
      <c r="BC60" s="339"/>
      <c r="BD60" s="339"/>
      <c r="BE60" s="339"/>
      <c r="BF60" s="339"/>
      <c r="BG60" s="339"/>
      <c r="BH60" s="339"/>
      <c r="BI60" s="339"/>
      <c r="BJ60" s="339"/>
    </row>
    <row r="61" spans="2:62" ht="15" thickBot="1">
      <c r="B61" s="18" t="s">
        <v>382</v>
      </c>
      <c r="C61" s="339"/>
      <c r="D61" s="339"/>
      <c r="E61" s="339"/>
      <c r="F61" s="339"/>
      <c r="G61" s="339"/>
      <c r="H61" s="339"/>
      <c r="I61" s="339"/>
      <c r="J61" s="339"/>
      <c r="K61" s="339"/>
      <c r="L61" s="339"/>
      <c r="M61" s="339"/>
      <c r="N61" s="339"/>
      <c r="O61" s="339"/>
      <c r="P61" s="339"/>
      <c r="Q61" s="339"/>
      <c r="R61" s="339"/>
      <c r="S61" s="339"/>
      <c r="T61" s="339"/>
      <c r="U61" s="339"/>
      <c r="V61" s="339"/>
      <c r="W61" s="339"/>
      <c r="X61" s="339"/>
      <c r="Y61" s="339"/>
      <c r="Z61" s="339"/>
      <c r="AA61" s="339"/>
      <c r="AB61" s="339"/>
      <c r="AC61" s="339"/>
      <c r="AD61" s="339"/>
      <c r="AE61" s="339"/>
      <c r="AF61" s="339"/>
      <c r="AG61" s="339"/>
      <c r="AH61" s="339"/>
      <c r="AI61" s="339"/>
      <c r="AJ61" s="339"/>
      <c r="AK61" s="339"/>
      <c r="AL61" s="339"/>
      <c r="AM61" s="339"/>
      <c r="AN61" s="339"/>
      <c r="AO61" s="339"/>
      <c r="AP61" s="339"/>
      <c r="AQ61" s="339"/>
      <c r="AR61" s="339"/>
      <c r="AS61" s="339"/>
      <c r="AT61" s="339"/>
      <c r="AU61" s="339"/>
      <c r="AV61" s="339"/>
      <c r="AW61" s="339"/>
      <c r="AX61" s="339"/>
      <c r="AY61" s="339"/>
      <c r="AZ61" s="339"/>
      <c r="BA61" s="339"/>
      <c r="BB61" s="339"/>
      <c r="BC61" s="339"/>
      <c r="BD61" s="339"/>
      <c r="BE61" s="339"/>
      <c r="BF61" s="339"/>
      <c r="BG61" s="339"/>
      <c r="BH61" s="339"/>
      <c r="BI61" s="339"/>
      <c r="BJ61" s="339"/>
    </row>
    <row r="62" spans="2:62">
      <c r="B62" s="293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5"/>
    </row>
    <row r="63" spans="2:62" ht="15" thickBot="1">
      <c r="B63" s="296"/>
      <c r="C63" s="297"/>
      <c r="D63" s="297"/>
      <c r="E63" s="297"/>
      <c r="F63" s="297"/>
      <c r="G63" s="297"/>
      <c r="H63" s="297"/>
      <c r="I63" s="297"/>
      <c r="J63" s="297"/>
      <c r="K63" s="297"/>
      <c r="L63" s="297"/>
      <c r="M63" s="297"/>
      <c r="N63" s="297"/>
      <c r="O63" s="297"/>
      <c r="P63" s="297"/>
      <c r="Q63" s="297"/>
      <c r="R63" s="297"/>
      <c r="S63" s="297"/>
      <c r="T63" s="297"/>
      <c r="U63" s="297"/>
      <c r="V63" s="297"/>
      <c r="W63" s="297"/>
      <c r="X63" s="297"/>
      <c r="Y63" s="297"/>
      <c r="Z63" s="297"/>
      <c r="AA63" s="297"/>
      <c r="AB63" s="297"/>
      <c r="AC63" s="297"/>
      <c r="AD63" s="297"/>
      <c r="AE63" s="297"/>
      <c r="AF63" s="297"/>
      <c r="AG63" s="297"/>
      <c r="AH63" s="297"/>
      <c r="AI63" s="297"/>
      <c r="AJ63" s="297"/>
      <c r="AK63" s="297"/>
      <c r="AL63" s="297"/>
      <c r="AM63" s="297"/>
      <c r="AN63" s="297"/>
      <c r="AO63" s="297"/>
      <c r="AP63" s="297"/>
      <c r="AQ63" s="297"/>
      <c r="AR63" s="297"/>
      <c r="AS63" s="297"/>
      <c r="AT63" s="297"/>
      <c r="AU63" s="297"/>
      <c r="AV63" s="297"/>
      <c r="AW63" s="297"/>
      <c r="AX63" s="297"/>
      <c r="AY63" s="297"/>
      <c r="AZ63" s="297"/>
      <c r="BA63" s="297"/>
      <c r="BB63" s="297"/>
      <c r="BC63" s="297"/>
      <c r="BD63" s="297"/>
      <c r="BE63" s="297"/>
      <c r="BF63" s="297"/>
      <c r="BG63" s="297"/>
      <c r="BH63" s="297"/>
      <c r="BI63" s="308"/>
      <c r="BJ63" s="298"/>
    </row>
    <row r="64" spans="2:62" ht="15" thickBot="1">
      <c r="B64" s="299"/>
      <c r="C64" s="314">
        <v>12</v>
      </c>
      <c r="D64" s="315">
        <v>11</v>
      </c>
      <c r="E64" s="315">
        <v>10</v>
      </c>
      <c r="F64" s="315">
        <v>9</v>
      </c>
      <c r="G64" s="315">
        <v>8</v>
      </c>
      <c r="H64" s="315">
        <v>7</v>
      </c>
      <c r="I64" s="316">
        <v>6</v>
      </c>
      <c r="J64" s="314">
        <v>5</v>
      </c>
      <c r="K64" s="315">
        <v>13</v>
      </c>
      <c r="L64" s="314">
        <v>14</v>
      </c>
      <c r="M64" s="315">
        <v>15</v>
      </c>
      <c r="N64" s="315">
        <v>16</v>
      </c>
      <c r="O64" s="315">
        <v>17</v>
      </c>
      <c r="P64" s="315">
        <v>18</v>
      </c>
      <c r="Q64" s="315">
        <v>19</v>
      </c>
      <c r="R64" s="314">
        <v>20</v>
      </c>
      <c r="S64" s="315">
        <v>21</v>
      </c>
      <c r="T64" s="314">
        <v>22</v>
      </c>
      <c r="U64" s="315">
        <v>23</v>
      </c>
      <c r="V64" s="314">
        <v>24</v>
      </c>
      <c r="W64" s="315">
        <v>25</v>
      </c>
      <c r="X64" s="314">
        <v>26</v>
      </c>
      <c r="Y64" s="315">
        <v>27</v>
      </c>
      <c r="Z64" s="314">
        <v>28</v>
      </c>
      <c r="AA64" s="315">
        <v>29</v>
      </c>
      <c r="AB64" s="314">
        <v>30</v>
      </c>
      <c r="AC64" s="315">
        <v>31</v>
      </c>
      <c r="AD64" s="314">
        <v>32</v>
      </c>
      <c r="AE64" s="315">
        <v>33</v>
      </c>
      <c r="AF64" s="314">
        <v>34</v>
      </c>
      <c r="AG64" s="315">
        <v>35</v>
      </c>
      <c r="AH64" s="314">
        <v>36</v>
      </c>
      <c r="AI64" s="315">
        <v>37</v>
      </c>
      <c r="AJ64" s="314">
        <v>38</v>
      </c>
      <c r="AK64" s="305">
        <v>9998</v>
      </c>
      <c r="AL64" s="309"/>
      <c r="AM64" s="309"/>
      <c r="AN64" s="309"/>
      <c r="AO64" s="309"/>
      <c r="AP64" s="309"/>
      <c r="AQ64" s="309"/>
      <c r="AR64" s="309"/>
      <c r="AS64" s="309"/>
      <c r="AT64" s="309"/>
      <c r="AU64" s="309"/>
      <c r="AV64" s="309"/>
      <c r="AW64" s="309"/>
      <c r="AX64" s="309"/>
      <c r="AY64" s="309"/>
      <c r="AZ64" s="309"/>
      <c r="BA64" s="309"/>
      <c r="BB64" s="309"/>
      <c r="BC64" s="309"/>
      <c r="BD64" s="309"/>
      <c r="BE64" s="309"/>
      <c r="BF64" s="309"/>
      <c r="BG64" s="309"/>
      <c r="BH64" s="308"/>
      <c r="BI64" s="308"/>
      <c r="BJ64" s="298"/>
    </row>
    <row r="65" spans="2:62" ht="15" thickBot="1">
      <c r="B65" s="299"/>
      <c r="C65" s="297"/>
      <c r="D65" s="297"/>
      <c r="E65" s="297"/>
      <c r="F65" s="297"/>
      <c r="G65" s="297"/>
      <c r="H65" s="297"/>
      <c r="I65" s="297"/>
      <c r="J65" s="314">
        <v>4</v>
      </c>
      <c r="K65" s="297"/>
      <c r="L65" s="297"/>
      <c r="M65" s="297"/>
      <c r="N65" s="297"/>
      <c r="O65" s="297"/>
      <c r="P65" s="297"/>
      <c r="Q65" s="297"/>
      <c r="R65" s="297"/>
      <c r="S65" s="297"/>
      <c r="T65" s="297"/>
      <c r="U65" s="297"/>
      <c r="V65" s="297"/>
      <c r="W65" s="297"/>
      <c r="X65" s="297"/>
      <c r="Y65" s="297"/>
      <c r="Z65" s="297"/>
      <c r="AA65" s="297"/>
      <c r="AB65" s="297"/>
      <c r="AC65" s="297"/>
      <c r="AD65" s="297"/>
      <c r="AE65" s="297"/>
      <c r="AF65" s="297"/>
      <c r="AG65" s="297"/>
      <c r="AH65" s="297"/>
      <c r="AI65" s="297"/>
      <c r="AJ65" s="297"/>
      <c r="AK65" s="297"/>
      <c r="AL65" s="297"/>
      <c r="AM65" s="297"/>
      <c r="AN65" s="297"/>
      <c r="AO65" s="297"/>
      <c r="AP65" s="297"/>
      <c r="AQ65" s="297"/>
      <c r="AR65" s="297"/>
      <c r="AS65" s="297"/>
      <c r="AT65" s="297"/>
      <c r="AU65" s="297"/>
      <c r="AV65" s="297"/>
      <c r="AW65" s="297"/>
      <c r="AX65" s="297"/>
      <c r="AY65" s="297"/>
      <c r="AZ65" s="297"/>
      <c r="BA65" s="297"/>
      <c r="BB65" s="297"/>
      <c r="BC65" s="297"/>
      <c r="BD65" s="297"/>
      <c r="BE65" s="297"/>
      <c r="BF65" s="297"/>
      <c r="BG65" s="297"/>
      <c r="BH65" s="297"/>
      <c r="BJ65" s="298"/>
    </row>
    <row r="66" spans="2:62" ht="15" thickBot="1">
      <c r="B66" s="299"/>
      <c r="C66" s="297"/>
      <c r="D66" s="297"/>
      <c r="E66" s="297"/>
      <c r="F66" s="297"/>
      <c r="G66" s="297"/>
      <c r="H66" s="297"/>
      <c r="I66" s="297"/>
      <c r="J66" s="314">
        <v>3</v>
      </c>
      <c r="K66" s="297"/>
      <c r="L66" s="297"/>
      <c r="M66" s="297"/>
      <c r="N66" s="297"/>
      <c r="O66" s="297"/>
      <c r="P66" s="297"/>
      <c r="Q66" s="297"/>
      <c r="R66" s="297"/>
      <c r="S66" s="297"/>
      <c r="T66" s="297"/>
      <c r="U66" s="297"/>
      <c r="V66" s="297"/>
      <c r="W66" s="297"/>
      <c r="X66" s="297"/>
      <c r="Y66" s="297"/>
      <c r="Z66" s="297"/>
      <c r="AA66" s="297"/>
      <c r="AB66" s="297"/>
      <c r="AC66" s="297"/>
      <c r="AD66" s="297"/>
      <c r="AE66" s="297"/>
      <c r="AF66" s="297"/>
      <c r="AG66" s="297"/>
      <c r="AH66" s="297"/>
      <c r="AI66" s="297"/>
      <c r="AJ66" s="297"/>
      <c r="AK66" s="314">
        <v>39</v>
      </c>
      <c r="AL66" s="314">
        <v>40</v>
      </c>
      <c r="AM66" s="315">
        <v>41</v>
      </c>
      <c r="AN66" s="314">
        <v>42</v>
      </c>
      <c r="AO66" s="315">
        <v>43</v>
      </c>
      <c r="AP66" s="314">
        <v>44</v>
      </c>
      <c r="AQ66" s="315">
        <v>45</v>
      </c>
      <c r="AR66" s="314">
        <v>46</v>
      </c>
      <c r="AS66" s="315">
        <v>47</v>
      </c>
      <c r="AT66" s="314">
        <v>48</v>
      </c>
      <c r="AU66" s="315">
        <v>49</v>
      </c>
      <c r="AV66" s="314">
        <v>50</v>
      </c>
      <c r="AW66" s="315">
        <v>51</v>
      </c>
      <c r="AX66" s="314">
        <v>52</v>
      </c>
      <c r="AY66" s="332">
        <v>53</v>
      </c>
      <c r="AZ66" s="333">
        <v>54</v>
      </c>
      <c r="BA66" s="332">
        <v>55</v>
      </c>
      <c r="BB66" s="333">
        <v>56</v>
      </c>
      <c r="BC66" s="332">
        <v>57</v>
      </c>
      <c r="BD66" s="333">
        <v>58</v>
      </c>
      <c r="BE66" s="332">
        <v>59</v>
      </c>
      <c r="BF66" s="333">
        <v>60</v>
      </c>
      <c r="BG66" s="332">
        <v>61</v>
      </c>
      <c r="BH66" s="332">
        <v>62</v>
      </c>
      <c r="BI66" s="297"/>
      <c r="BJ66" s="298"/>
    </row>
    <row r="67" spans="2:62" ht="15" thickBot="1">
      <c r="B67" s="299"/>
      <c r="C67" s="297"/>
      <c r="D67" s="297"/>
      <c r="E67" s="297"/>
      <c r="F67" s="297"/>
      <c r="G67" s="297"/>
      <c r="H67" s="297"/>
      <c r="I67" s="297"/>
      <c r="J67" s="314">
        <v>2</v>
      </c>
      <c r="K67" s="297"/>
      <c r="L67" s="297"/>
      <c r="M67" s="297"/>
      <c r="N67" s="297"/>
      <c r="O67" s="308"/>
      <c r="P67" s="308"/>
      <c r="Q67" s="308"/>
      <c r="R67" s="308"/>
      <c r="S67" s="308"/>
      <c r="T67" s="297"/>
      <c r="U67" s="297"/>
      <c r="V67" s="297"/>
      <c r="W67" s="297"/>
      <c r="X67" s="297"/>
      <c r="Y67" s="297"/>
      <c r="Z67" s="297"/>
      <c r="AA67" s="297"/>
      <c r="AB67" s="297"/>
      <c r="AC67" s="297"/>
      <c r="AD67" s="297"/>
      <c r="AE67" s="297"/>
      <c r="AF67" s="297"/>
      <c r="AG67" s="297"/>
      <c r="AH67" s="297"/>
      <c r="AI67" s="297"/>
      <c r="AJ67" s="297"/>
      <c r="AK67" s="297"/>
      <c r="AL67" s="297"/>
      <c r="AM67" s="297"/>
      <c r="AN67" s="297"/>
      <c r="AO67" s="297"/>
      <c r="AP67" s="297"/>
      <c r="AQ67" s="297"/>
      <c r="AR67" s="297"/>
      <c r="AS67" s="297"/>
      <c r="AT67" s="297"/>
      <c r="AU67" s="297"/>
      <c r="AV67" s="297"/>
      <c r="AW67" s="297"/>
      <c r="AX67" s="297"/>
      <c r="AY67" s="297"/>
      <c r="AZ67" s="297"/>
      <c r="BA67" s="297"/>
      <c r="BB67" s="297"/>
      <c r="BC67" s="297"/>
      <c r="BD67" s="297"/>
      <c r="BE67" s="297"/>
      <c r="BF67" s="297"/>
      <c r="BG67" s="297"/>
      <c r="BH67" s="297"/>
      <c r="BI67" s="297"/>
      <c r="BJ67" s="298"/>
    </row>
    <row r="68" spans="2:62" ht="15" thickBot="1">
      <c r="B68" s="299"/>
      <c r="C68" s="297"/>
      <c r="D68" s="297"/>
      <c r="E68" s="297"/>
      <c r="F68" s="297"/>
      <c r="G68" s="297"/>
      <c r="H68" s="297"/>
      <c r="I68" s="297"/>
      <c r="J68" s="314">
        <v>1</v>
      </c>
      <c r="K68" s="297"/>
      <c r="L68" s="297"/>
      <c r="M68" s="297"/>
      <c r="N68" s="297"/>
      <c r="O68" s="308"/>
      <c r="P68" s="308"/>
      <c r="Q68" s="308"/>
      <c r="R68" s="308"/>
      <c r="S68" s="308"/>
      <c r="T68" s="297"/>
      <c r="U68" s="297"/>
      <c r="V68" s="297"/>
      <c r="W68" s="297"/>
      <c r="X68" s="297"/>
      <c r="Y68" s="297"/>
      <c r="Z68" s="297"/>
      <c r="AA68" s="297"/>
      <c r="AB68" s="297"/>
      <c r="AC68" s="297"/>
      <c r="AD68" s="297"/>
      <c r="AE68" s="297"/>
      <c r="AF68" s="297"/>
      <c r="AG68" s="297"/>
      <c r="AH68" s="297"/>
      <c r="AI68" s="297"/>
      <c r="AJ68" s="297"/>
      <c r="AK68" s="297"/>
      <c r="AL68" s="297"/>
      <c r="AM68" s="297"/>
      <c r="AN68" s="297"/>
      <c r="AO68" s="297"/>
      <c r="AP68" s="297"/>
      <c r="AQ68" s="297"/>
      <c r="AR68" s="297"/>
      <c r="AS68" s="297"/>
      <c r="AT68" s="297"/>
      <c r="AU68" s="297"/>
      <c r="AV68" s="297"/>
      <c r="AW68" s="297"/>
      <c r="AX68" s="297"/>
      <c r="AY68" s="297"/>
      <c r="AZ68" s="297"/>
      <c r="BA68" s="297"/>
      <c r="BB68" s="297"/>
      <c r="BC68" s="297"/>
      <c r="BD68" s="297"/>
      <c r="BE68" s="297"/>
      <c r="BF68" s="297"/>
      <c r="BG68" s="297"/>
      <c r="BH68" s="297"/>
      <c r="BI68" s="297"/>
      <c r="BJ68" s="298"/>
    </row>
    <row r="69" spans="2:62" ht="15" thickBot="1">
      <c r="B69" s="299"/>
      <c r="C69" s="297"/>
      <c r="D69" s="297"/>
      <c r="E69" s="297"/>
      <c r="F69" s="297"/>
      <c r="G69" s="297"/>
      <c r="H69" s="297"/>
      <c r="I69" s="297"/>
      <c r="J69" s="314">
        <v>0</v>
      </c>
      <c r="K69" s="297"/>
      <c r="L69" s="297"/>
      <c r="M69" s="297"/>
      <c r="N69" s="297"/>
      <c r="O69" s="308"/>
      <c r="P69" s="308"/>
      <c r="Q69" s="308"/>
      <c r="R69" s="308"/>
      <c r="S69" s="308"/>
      <c r="T69" s="297"/>
      <c r="U69" s="297"/>
      <c r="V69" s="297"/>
      <c r="W69" s="297"/>
      <c r="X69" s="297"/>
      <c r="Y69" s="297"/>
      <c r="Z69" s="297"/>
      <c r="AA69" s="297"/>
      <c r="AB69" s="297"/>
      <c r="AC69" s="297"/>
      <c r="AD69" s="297"/>
      <c r="AE69" s="297"/>
      <c r="AF69" s="297"/>
      <c r="AG69" s="297"/>
      <c r="AH69" s="297"/>
      <c r="AI69" s="297"/>
      <c r="AJ69" s="297"/>
      <c r="AK69" s="297"/>
      <c r="AL69" s="297"/>
      <c r="AM69" s="297"/>
      <c r="AN69" s="297"/>
      <c r="AO69" s="297"/>
      <c r="AP69" s="297"/>
      <c r="AQ69" s="297"/>
      <c r="AR69" s="297"/>
      <c r="AS69" s="297"/>
      <c r="AT69" s="297"/>
      <c r="AU69" s="297"/>
      <c r="AV69" s="297"/>
      <c r="AW69" s="297"/>
      <c r="AX69" s="297"/>
      <c r="AY69" s="297"/>
      <c r="AZ69" s="297"/>
      <c r="BA69" s="297"/>
      <c r="BB69" s="297"/>
      <c r="BC69" s="297"/>
      <c r="BD69" s="297"/>
      <c r="BE69" s="297"/>
      <c r="BF69" s="297"/>
      <c r="BG69" s="297"/>
      <c r="BH69" s="297"/>
      <c r="BI69" s="297"/>
      <c r="BJ69" s="298"/>
    </row>
    <row r="70" spans="2:62">
      <c r="B70" s="299"/>
      <c r="C70" s="308"/>
      <c r="D70" s="308"/>
      <c r="E70" s="308"/>
      <c r="F70" s="308"/>
      <c r="G70" s="308"/>
      <c r="H70" s="308"/>
      <c r="I70" s="297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  <c r="W70" s="308"/>
      <c r="X70" s="308"/>
      <c r="Y70" s="308"/>
      <c r="Z70" s="308"/>
      <c r="AA70" s="308"/>
      <c r="AB70" s="308"/>
      <c r="AC70" s="308"/>
      <c r="AD70" s="308"/>
      <c r="AE70" s="308"/>
      <c r="AF70" s="308"/>
      <c r="AG70" s="308"/>
      <c r="AH70" s="308"/>
      <c r="AI70" s="308"/>
      <c r="AJ70" s="308"/>
      <c r="AK70" s="308"/>
      <c r="AL70" s="308"/>
      <c r="AM70" s="308"/>
      <c r="AN70" s="308"/>
      <c r="AO70" s="308"/>
      <c r="AP70" s="308"/>
      <c r="AQ70" s="308"/>
      <c r="AR70" s="308"/>
      <c r="AS70" s="308"/>
      <c r="AT70" s="308"/>
      <c r="AU70" s="308"/>
      <c r="AV70" s="308"/>
      <c r="AW70" s="308"/>
      <c r="AX70" s="308"/>
      <c r="AY70" s="308"/>
      <c r="AZ70" s="308"/>
      <c r="BA70" s="308"/>
      <c r="BB70" s="308"/>
      <c r="BC70" s="308"/>
      <c r="BD70" s="308"/>
      <c r="BE70" s="308"/>
      <c r="BF70" s="308"/>
      <c r="BG70" s="308"/>
      <c r="BH70" s="308"/>
      <c r="BJ70" s="298"/>
    </row>
    <row r="71" spans="2:62">
      <c r="B71" s="299"/>
      <c r="C71" s="308"/>
      <c r="D71" s="308"/>
      <c r="E71" s="308"/>
      <c r="F71" s="308"/>
      <c r="G71" s="308"/>
      <c r="H71" s="308"/>
      <c r="I71" s="308"/>
      <c r="J71" s="308"/>
      <c r="K71" s="308"/>
      <c r="L71" s="308"/>
      <c r="M71" s="308"/>
      <c r="N71" s="308"/>
      <c r="O71" s="308"/>
      <c r="P71" s="308"/>
      <c r="Q71" s="308"/>
      <c r="R71" s="308"/>
      <c r="S71" s="308"/>
      <c r="U71" s="308"/>
      <c r="V71" s="308"/>
      <c r="W71" s="308"/>
      <c r="X71" s="308"/>
      <c r="Y71" s="308"/>
      <c r="Z71" s="308"/>
      <c r="AA71" s="308"/>
      <c r="AB71" s="308"/>
      <c r="AC71" s="308"/>
      <c r="AD71" s="308"/>
      <c r="AE71" s="308"/>
      <c r="AF71" s="308"/>
      <c r="AG71" s="308"/>
      <c r="AH71" s="308"/>
      <c r="AI71" s="308"/>
      <c r="AJ71" s="308"/>
      <c r="AK71" s="308"/>
      <c r="AL71" s="308"/>
      <c r="AM71" s="308"/>
      <c r="AN71" s="308"/>
      <c r="AO71" s="308"/>
      <c r="AP71" s="308"/>
      <c r="AQ71" s="308"/>
      <c r="AR71" s="308"/>
      <c r="AS71" s="308"/>
      <c r="AT71" s="308"/>
      <c r="AU71" s="308"/>
      <c r="AV71" s="308"/>
      <c r="AW71" s="308"/>
      <c r="AX71" s="308"/>
      <c r="AY71" s="308"/>
      <c r="AZ71" s="308"/>
      <c r="BA71" s="308"/>
      <c r="BB71" s="308"/>
      <c r="BC71" s="308"/>
      <c r="BD71" s="308"/>
      <c r="BE71" s="308"/>
      <c r="BF71" s="308"/>
      <c r="BG71" s="308"/>
      <c r="BH71" s="308"/>
      <c r="BI71" s="308" t="s">
        <v>385</v>
      </c>
      <c r="BJ71" s="298"/>
    </row>
    <row r="72" spans="2:62" ht="15" thickBot="1">
      <c r="B72" s="310"/>
      <c r="C72" s="311"/>
      <c r="D72" s="311"/>
      <c r="E72" s="311"/>
      <c r="F72" s="311"/>
      <c r="G72" s="311"/>
      <c r="H72" s="311"/>
      <c r="I72" s="311"/>
      <c r="J72" s="311"/>
      <c r="K72" s="311"/>
      <c r="L72" s="311"/>
      <c r="M72" s="311"/>
      <c r="N72" s="311"/>
      <c r="O72" s="311"/>
      <c r="P72" s="311"/>
      <c r="Q72" s="311"/>
      <c r="R72" s="311"/>
      <c r="S72" s="311"/>
      <c r="T72" s="311"/>
      <c r="U72" s="311"/>
      <c r="V72" s="311"/>
      <c r="W72" s="311"/>
      <c r="X72" s="311"/>
      <c r="Y72" s="311"/>
      <c r="Z72" s="311"/>
      <c r="AA72" s="311"/>
      <c r="AB72" s="311"/>
      <c r="AC72" s="311"/>
      <c r="AD72" s="311"/>
      <c r="AE72" s="311"/>
      <c r="AF72" s="311"/>
      <c r="AG72" s="311"/>
      <c r="AH72" s="311"/>
      <c r="AI72" s="311"/>
      <c r="AJ72" s="311"/>
      <c r="AK72" s="311"/>
      <c r="AL72" s="311"/>
      <c r="AM72" s="311"/>
      <c r="AN72" s="311"/>
      <c r="AO72" s="311"/>
      <c r="AP72" s="311"/>
      <c r="AQ72" s="311"/>
      <c r="AR72" s="311"/>
      <c r="AS72" s="311"/>
      <c r="AT72" s="311"/>
      <c r="AU72" s="311"/>
      <c r="AV72" s="311"/>
      <c r="AW72" s="311"/>
      <c r="AX72" s="311"/>
      <c r="AY72" s="311"/>
      <c r="AZ72" s="311"/>
      <c r="BA72" s="311"/>
      <c r="BB72" s="311"/>
      <c r="BC72" s="311"/>
      <c r="BD72" s="311"/>
      <c r="BE72" s="311"/>
      <c r="BF72" s="311"/>
      <c r="BG72" s="311"/>
      <c r="BH72" s="311"/>
      <c r="BI72" s="311"/>
      <c r="BJ72" s="312"/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変更履歴</vt:lpstr>
      <vt:lpstr>変換用一覧</vt:lpstr>
      <vt:lpstr>20200511</vt:lpstr>
      <vt:lpstr>20200316</vt:lpstr>
      <vt:lpstr>簡易配置図</vt:lpstr>
      <vt:lpstr>変換方法</vt:lpstr>
      <vt:lpstr>navi.jsonとarea_settings.jso_new</vt:lpstr>
      <vt:lpstr>navi.jsonとarea_settings.json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2019-06-04T12:12:53Z</dcterms:created>
  <dcterms:modified xsi:type="dcterms:W3CDTF">2020-05-25T16:11:14Z</dcterms:modified>
</cp:coreProperties>
</file>